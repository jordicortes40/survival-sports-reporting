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M:\La meva unitat\Docencia\TFM TFG\ACTUALS\TFM Survival esport\Github\survival-sports-reporting\Data\"/>
    </mc:Choice>
  </mc:AlternateContent>
  <xr:revisionPtr revIDLastSave="0" documentId="13_ncr:1_{7C291C4B-FD3C-47F6-A913-2131D58E4AA3}" xr6:coauthVersionLast="36" xr6:coauthVersionMax="47" xr10:uidLastSave="{00000000-0000-0000-0000-000000000000}"/>
  <bookViews>
    <workbookView xWindow="28680" yWindow="-120" windowWidth="29040" windowHeight="15840" xr2:uid="{D447BC84-D6E7-4F8B-A5B7-777333882F3A}"/>
  </bookViews>
  <sheets>
    <sheet name="Articles" sheetId="1" r:id="rId1"/>
  </sheets>
  <definedNames>
    <definedName name="_xlnm._FilterDatabase" localSheetId="0" hidden="1">Articles!$B$1:$BK$139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3" i="1" l="1"/>
  <c r="AM3" i="1" s="1"/>
  <c r="AC4" i="1"/>
  <c r="AM4" i="1" s="1"/>
  <c r="AC5" i="1"/>
  <c r="AM5" i="1" s="1"/>
  <c r="AC6" i="1"/>
  <c r="AM6" i="1" s="1"/>
  <c r="AC7" i="1"/>
  <c r="AM7" i="1" s="1"/>
  <c r="AC8" i="1"/>
  <c r="AM8" i="1" s="1"/>
  <c r="AC9" i="1"/>
  <c r="AM9" i="1" s="1"/>
  <c r="AC10" i="1"/>
  <c r="AM10" i="1" s="1"/>
  <c r="AC11" i="1"/>
  <c r="AM11" i="1" s="1"/>
  <c r="AC12" i="1"/>
  <c r="AM12" i="1" s="1"/>
  <c r="AC13" i="1"/>
  <c r="AM13" i="1" s="1"/>
  <c r="AC14" i="1"/>
  <c r="AM14" i="1" s="1"/>
  <c r="AC15" i="1"/>
  <c r="AM15" i="1" s="1"/>
  <c r="AC16" i="1"/>
  <c r="AM16" i="1" s="1"/>
  <c r="AC17" i="1"/>
  <c r="AM17" i="1" s="1"/>
  <c r="AC18" i="1"/>
  <c r="AM18" i="1" s="1"/>
  <c r="AC19" i="1"/>
  <c r="AM19" i="1" s="1"/>
  <c r="AC20" i="1"/>
  <c r="AM20" i="1" s="1"/>
  <c r="AC21" i="1"/>
  <c r="AM21" i="1" s="1"/>
  <c r="AC22" i="1"/>
  <c r="AM22" i="1" s="1"/>
  <c r="AC23" i="1"/>
  <c r="AM23" i="1" s="1"/>
  <c r="AC24" i="1"/>
  <c r="AM24" i="1" s="1"/>
  <c r="AC25" i="1"/>
  <c r="AM25" i="1" s="1"/>
  <c r="AC26" i="1"/>
  <c r="AM26" i="1" s="1"/>
  <c r="AC27" i="1"/>
  <c r="AM27" i="1" s="1"/>
  <c r="AC28" i="1"/>
  <c r="AM28" i="1" s="1"/>
  <c r="AC29" i="1"/>
  <c r="AM29" i="1" s="1"/>
  <c r="AC30" i="1"/>
  <c r="AM30" i="1" s="1"/>
  <c r="AC31" i="1"/>
  <c r="AM31" i="1" s="1"/>
  <c r="AC32" i="1"/>
  <c r="AM32" i="1" s="1"/>
  <c r="AC33" i="1"/>
  <c r="AM33" i="1" s="1"/>
  <c r="AC34" i="1"/>
  <c r="AM34" i="1" s="1"/>
  <c r="AC35" i="1"/>
  <c r="AM35" i="1" s="1"/>
  <c r="AC36" i="1"/>
  <c r="AM36" i="1" s="1"/>
  <c r="AC37" i="1"/>
  <c r="AM37" i="1" s="1"/>
  <c r="AC38" i="1"/>
  <c r="AM38" i="1" s="1"/>
  <c r="AC39" i="1"/>
  <c r="AM39" i="1" s="1"/>
  <c r="AC40" i="1"/>
  <c r="AM40" i="1" s="1"/>
  <c r="AC41" i="1"/>
  <c r="AM41" i="1" s="1"/>
  <c r="AC42" i="1"/>
  <c r="AM42" i="1" s="1"/>
  <c r="AC43" i="1"/>
  <c r="AM43" i="1" s="1"/>
  <c r="AC44" i="1"/>
  <c r="AM44" i="1" s="1"/>
  <c r="AC45" i="1"/>
  <c r="AM45" i="1" s="1"/>
  <c r="AC46" i="1"/>
  <c r="AM46" i="1" s="1"/>
  <c r="AC47" i="1"/>
  <c r="AM47" i="1" s="1"/>
  <c r="AC48" i="1"/>
  <c r="AM48" i="1" s="1"/>
  <c r="AC49" i="1"/>
  <c r="AM49" i="1" s="1"/>
  <c r="AC50" i="1"/>
  <c r="AM50" i="1" s="1"/>
  <c r="AC51" i="1"/>
  <c r="AM51" i="1" s="1"/>
  <c r="AC52" i="1"/>
  <c r="AM52" i="1" s="1"/>
  <c r="AC53" i="1"/>
  <c r="AM53" i="1" s="1"/>
  <c r="AC54" i="1"/>
  <c r="AM54" i="1" s="1"/>
  <c r="AC55" i="1"/>
  <c r="AM55" i="1" s="1"/>
  <c r="AC56" i="1"/>
  <c r="AM56" i="1" s="1"/>
  <c r="AC57" i="1"/>
  <c r="AM57" i="1" s="1"/>
  <c r="AC58" i="1"/>
  <c r="AM58" i="1" s="1"/>
  <c r="AC59" i="1"/>
  <c r="AM59" i="1" s="1"/>
  <c r="AC60" i="1"/>
  <c r="AM60" i="1" s="1"/>
  <c r="AC61" i="1"/>
  <c r="AM61" i="1" s="1"/>
  <c r="AC62" i="1"/>
  <c r="AM62" i="1" s="1"/>
  <c r="AC63" i="1"/>
  <c r="AM63" i="1" s="1"/>
  <c r="AC64" i="1"/>
  <c r="AM64" i="1" s="1"/>
  <c r="AC65" i="1"/>
  <c r="AM65" i="1" s="1"/>
  <c r="AC66" i="1"/>
  <c r="AM66" i="1" s="1"/>
  <c r="AC67" i="1"/>
  <c r="AM67" i="1" s="1"/>
  <c r="AC68" i="1"/>
  <c r="AM68" i="1" s="1"/>
  <c r="AC69" i="1"/>
  <c r="AM69" i="1" s="1"/>
  <c r="AC70" i="1"/>
  <c r="AM70" i="1" s="1"/>
  <c r="AC71" i="1"/>
  <c r="AM71" i="1" s="1"/>
  <c r="AC72" i="1"/>
  <c r="AM72" i="1" s="1"/>
  <c r="AC73" i="1"/>
  <c r="AM73" i="1" s="1"/>
  <c r="AC74" i="1"/>
  <c r="AM74" i="1" s="1"/>
  <c r="AC75" i="1"/>
  <c r="AM75" i="1" s="1"/>
  <c r="AC76" i="1"/>
  <c r="AM76" i="1" s="1"/>
  <c r="AC77" i="1"/>
  <c r="AM77" i="1" s="1"/>
  <c r="AC78" i="1"/>
  <c r="AM78" i="1" s="1"/>
  <c r="AC79" i="1"/>
  <c r="AM79" i="1" s="1"/>
  <c r="AC80" i="1"/>
  <c r="AM80" i="1" s="1"/>
  <c r="AC81" i="1"/>
  <c r="AM81" i="1" s="1"/>
  <c r="AC82" i="1"/>
  <c r="AM82" i="1" s="1"/>
  <c r="AC83" i="1"/>
  <c r="AM83" i="1" s="1"/>
  <c r="AC84" i="1"/>
  <c r="AM84" i="1" s="1"/>
  <c r="AC85" i="1"/>
  <c r="AM85" i="1" s="1"/>
  <c r="AC86" i="1"/>
  <c r="AM86" i="1" s="1"/>
  <c r="AC87" i="1"/>
  <c r="AM87" i="1" s="1"/>
  <c r="AC88" i="1"/>
  <c r="AM88" i="1" s="1"/>
  <c r="AC89" i="1"/>
  <c r="AM89" i="1" s="1"/>
  <c r="AC90" i="1"/>
  <c r="AM90" i="1" s="1"/>
  <c r="AC91" i="1"/>
  <c r="AM91" i="1" s="1"/>
  <c r="AC92" i="1"/>
  <c r="AM92" i="1" s="1"/>
  <c r="AC93" i="1"/>
  <c r="AM93" i="1" s="1"/>
  <c r="AC94" i="1"/>
  <c r="AM94" i="1" s="1"/>
  <c r="AC95" i="1"/>
  <c r="AM95" i="1" s="1"/>
  <c r="AC96" i="1"/>
  <c r="AM96" i="1" s="1"/>
  <c r="AC97" i="1"/>
  <c r="AM97" i="1" s="1"/>
  <c r="AC98" i="1"/>
  <c r="AM98" i="1" s="1"/>
  <c r="AC99" i="1"/>
  <c r="AM99" i="1" s="1"/>
  <c r="AC100" i="1"/>
  <c r="AM100" i="1" s="1"/>
  <c r="AC101" i="1"/>
  <c r="AM101" i="1" s="1"/>
  <c r="AC102" i="1"/>
  <c r="AM102" i="1" s="1"/>
  <c r="AC103" i="1"/>
  <c r="AM103" i="1" s="1"/>
  <c r="AC104" i="1"/>
  <c r="AM104" i="1" s="1"/>
  <c r="AC105" i="1"/>
  <c r="AM105" i="1" s="1"/>
  <c r="AC106" i="1"/>
  <c r="AM106" i="1" s="1"/>
  <c r="AC107" i="1"/>
  <c r="AM107" i="1" s="1"/>
  <c r="AC108" i="1"/>
  <c r="AM108" i="1" s="1"/>
  <c r="AC109" i="1"/>
  <c r="AM109" i="1" s="1"/>
  <c r="AC110" i="1"/>
  <c r="AM110" i="1" s="1"/>
  <c r="AC111" i="1"/>
  <c r="AM111" i="1" s="1"/>
  <c r="AC112" i="1"/>
  <c r="AM112" i="1" s="1"/>
  <c r="AC113" i="1"/>
  <c r="AM113" i="1" s="1"/>
  <c r="AC114" i="1"/>
  <c r="AM114" i="1" s="1"/>
  <c r="AC115" i="1"/>
  <c r="AM115" i="1" s="1"/>
  <c r="AC116" i="1"/>
  <c r="AM116" i="1" s="1"/>
  <c r="AC117" i="1"/>
  <c r="AM117" i="1" s="1"/>
  <c r="AC118" i="1"/>
  <c r="AM118" i="1" s="1"/>
  <c r="AC119" i="1"/>
  <c r="AM119" i="1" s="1"/>
  <c r="AC120" i="1"/>
  <c r="AM120" i="1" s="1"/>
  <c r="AC121" i="1"/>
  <c r="AM121" i="1" s="1"/>
  <c r="AC122" i="1"/>
  <c r="AM122" i="1" s="1"/>
  <c r="AC123" i="1"/>
  <c r="AM123" i="1" s="1"/>
  <c r="AC124" i="1"/>
  <c r="AM124" i="1" s="1"/>
  <c r="AC125" i="1"/>
  <c r="AM125" i="1" s="1"/>
  <c r="AC126" i="1"/>
  <c r="AM126" i="1" s="1"/>
  <c r="AC127" i="1"/>
  <c r="AM127" i="1" s="1"/>
  <c r="AC128" i="1"/>
  <c r="AM128" i="1" s="1"/>
  <c r="AC129" i="1"/>
  <c r="AM129" i="1" s="1"/>
  <c r="AC130" i="1"/>
  <c r="AM130" i="1" s="1"/>
  <c r="AC131" i="1"/>
  <c r="AM131" i="1" s="1"/>
  <c r="AC132" i="1"/>
  <c r="AM132" i="1" s="1"/>
  <c r="AC133" i="1"/>
  <c r="AM133" i="1" s="1"/>
  <c r="AC134" i="1"/>
  <c r="AM134" i="1" s="1"/>
  <c r="AC135" i="1"/>
  <c r="AM135" i="1" s="1"/>
  <c r="AC136" i="1"/>
  <c r="AM136" i="1" s="1"/>
  <c r="AC137" i="1"/>
  <c r="AM137" i="1" s="1"/>
  <c r="AC138" i="1"/>
  <c r="AM138" i="1" s="1"/>
  <c r="AC139" i="1"/>
  <c r="AM139" i="1" s="1"/>
  <c r="AC2" i="1"/>
  <c r="AM2" i="1" s="1"/>
</calcChain>
</file>

<file path=xl/sharedStrings.xml><?xml version="1.0" encoding="utf-8"?>
<sst xmlns="http://schemas.openxmlformats.org/spreadsheetml/2006/main" count="7921" uniqueCount="837">
  <si>
    <t>Title</t>
  </si>
  <si>
    <t>Principal Aim</t>
  </si>
  <si>
    <t>Proposes a model or method?</t>
  </si>
  <si>
    <t>Author (citation APA)</t>
  </si>
  <si>
    <t>Country of the data</t>
  </si>
  <si>
    <t>Publication Year</t>
  </si>
  <si>
    <t>Journal Name</t>
  </si>
  <si>
    <t>Type of Journal</t>
  </si>
  <si>
    <t>N</t>
  </si>
  <si>
    <t>Type of participant</t>
  </si>
  <si>
    <t>Age</t>
  </si>
  <si>
    <t>Sport</t>
  </si>
  <si>
    <t>Sport_1</t>
  </si>
  <si>
    <t>Gender</t>
  </si>
  <si>
    <t>Category participants</t>
  </si>
  <si>
    <t>Name of source data</t>
  </si>
  <si>
    <t>Category classification</t>
  </si>
  <si>
    <t>Type of model</t>
  </si>
  <si>
    <t>Type of paradigm</t>
  </si>
  <si>
    <t>Statistical software</t>
  </si>
  <si>
    <t>Both</t>
  </si>
  <si>
    <t>Health</t>
  </si>
  <si>
    <t>Amateur</t>
  </si>
  <si>
    <t>Principal Aim 2</t>
  </si>
  <si>
    <t>Details of the analysis</t>
  </si>
  <si>
    <t>150 minutes of vigorous physical activity per week predicts survival and successful ageing: a population-based 11-year longitudinal study of 12 201 older Australian men</t>
  </si>
  <si>
    <t>BRITISH JOURNAL OF SPORTS MEDICINE</t>
  </si>
  <si>
    <t>Young Athletes Who Return to Sport Before 9 Months After Anterior Cruciate Ligament Reconstruction Have a Rate of New Injury 7 Times That of Those Who Delay Return</t>
  </si>
  <si>
    <t>JOURNAL OF ORTHOPAEDIC &amp; SPORTS PHYSICAL THERAPY</t>
  </si>
  <si>
    <t>Fighting to the death: Does hockey fighting in the NHL affect players' longevity?</t>
  </si>
  <si>
    <t>SCANDINAVIAN JOURNAL OF MEDICINE &amp; SCIENCE IN SPORTS</t>
  </si>
  <si>
    <t>Concussion is not associated with elevated rates of lower-extremity musculoskeletal injuries in National Football League Players</t>
  </si>
  <si>
    <t>PHYSICIAN AND SPORTSMEDICINE</t>
  </si>
  <si>
    <t>Combined ACL and ALL reconstruction reduces the rate of reoperation for graft failure or secondary meniscal lesions in young athletes</t>
  </si>
  <si>
    <t>KNEE SURGERY SPORTS TRAUMATOLOGY ARTHROSCOPY</t>
  </si>
  <si>
    <t>Community-Level Sports Group Participation and the Risk of Cognitive Impairment</t>
  </si>
  <si>
    <t>MEDICINE AND SCIENCE IN SPORTS AND EXERCISE</t>
  </si>
  <si>
    <t>Mortality of Spanish soccer referees and coaches: a retrospective cohort study</t>
  </si>
  <si>
    <t>SCIENCE AND MEDICINE IN FOOTBALL</t>
  </si>
  <si>
    <t>Outcomes from sudden cardiac arrest in US high schools: a 2-year prospective study from the National Registry for AED Use in Sports</t>
  </si>
  <si>
    <t>Increases in physical activity is as important as smoking cessation for reduction in total mortality in elderly men: 12 years of follow-up of the Oslo II study</t>
  </si>
  <si>
    <t>Cox Regression</t>
  </si>
  <si>
    <t>Almeida, O. P., Khan, K. M., Hankey, G. J., Yeap, B. B., Golledge, J., &amp; Flicker, L. (2014).</t>
  </si>
  <si>
    <t>Y</t>
  </si>
  <si>
    <t>.</t>
  </si>
  <si>
    <t>[65-83]</t>
  </si>
  <si>
    <t>PA</t>
  </si>
  <si>
    <t>Not reported</t>
  </si>
  <si>
    <t>Australia</t>
  </si>
  <si>
    <t>[15-30]</t>
  </si>
  <si>
    <t>To investigate the association between sustaining a second anterior cruciate ligament (ACL) injury and (1) time to return to sport, (2) symmetrical muscle function, and (3) symmetrical quadriceps strength at the time of return to sport in young athletes after primary ACL reconstruction</t>
  </si>
  <si>
    <t>Sports Medicine</t>
  </si>
  <si>
    <t>Hockey</t>
  </si>
  <si>
    <t>Hockey players</t>
  </si>
  <si>
    <t>We sought to investigate if players' involvement in hockey fights throughout their career was associated with shorter life spans</t>
  </si>
  <si>
    <t>Goldschmied, N., Lambrecht, J., Castro, A., &amp; Langton, H. (2023)</t>
  </si>
  <si>
    <t>USA</t>
  </si>
  <si>
    <t>Sports Performance Analysis</t>
  </si>
  <si>
    <t>American football players</t>
  </si>
  <si>
    <t>American football</t>
  </si>
  <si>
    <t>Buckley, T. A., Browne, S., Hunzinger, K. J., Kaminski, T. W., &amp; Swanik, C. B. (2023)</t>
  </si>
  <si>
    <t>Laboudie, P., Douiri, A., Bouguennec, N., Biset, A., &amp; Graveleau, N. (2022)</t>
  </si>
  <si>
    <t>Survival analysis</t>
  </si>
  <si>
    <t>&lt;20</t>
  </si>
  <si>
    <t>Pivoting sports</t>
  </si>
  <si>
    <t>Tsuji, T., Kanamori, S., Miyaguni, Y., Hanazato, M., &amp; Kondo, K. (2019)</t>
  </si>
  <si>
    <t>Japan</t>
  </si>
  <si>
    <t>Two-level multilevel survival analysis</t>
  </si>
  <si>
    <t>Spain</t>
  </si>
  <si>
    <t>Diz, J. C., Rodríguez, I., Iglesias-Sueiro, S., Diz Ferreira, E., Sanchez-Lastra, M. A. &amp; Ayán, C. (2023)</t>
  </si>
  <si>
    <t>Drezner, J. A., Toresdahl, B. G., Rao, A. L., Huszti, E., &amp; Harmon, K. G. (2013)</t>
  </si>
  <si>
    <t>Norway</t>
  </si>
  <si>
    <t>Determine the relationships between PA, smoking and 12-year CV, non-CV and all-cause mortality in elderly Oslo men</t>
  </si>
  <si>
    <t>Holme, I., &amp; Anderssen, S. A. (2015)</t>
  </si>
  <si>
    <t>Cox regression modelling of mortality endpoints</t>
  </si>
  <si>
    <t>Additional information</t>
  </si>
  <si>
    <t>A 20-Year Follow-up After First-Generation Autologous Chondrocyte Implantation</t>
  </si>
  <si>
    <t>A Prospective Analysis of the Contralateral Hip Among Patients With Femoroacetabular Impingement: What Are the Risk Factors for Disease Progression?</t>
  </si>
  <si>
    <t>Adherence to physical activity in an unsupervised setting: Explanatory variables for high attrition rates among fitness center members</t>
  </si>
  <si>
    <t>Adolescents and female patients are at increased risk for contralateral anterior cruciate ligament reconstruction: a cohort study from the Swedish National Knee Ligament Register based on 17,682 patients</t>
  </si>
  <si>
    <t>Age alone does not affect the joint survivorship after arthroscopic partial meniscectomy for degenerative medial meniscus tears: a propensity-score matched survival analysis</t>
  </si>
  <si>
    <t>Age, rehabilitation and surgery characteristics are re-injury risk factors for adolescents following anterior cruciate ligament reconstruction</t>
  </si>
  <si>
    <t>All-cause and disease-specific mortality among male, former elite athletes: an average 50-year follow-up</t>
  </si>
  <si>
    <t>An In-Depth Analysis of Graft Rupture and Contralateral Anterior Cruciate Ligament Rupture Rates After Pediatric Anterior Cruciate Ligament Reconstruction</t>
  </si>
  <si>
    <t>Articular cartilage paste graft for severe osteochondral lesions of the knee: a 10- to 23-year follow-up study</t>
  </si>
  <si>
    <t>Association Between Meniscal Allograft Tears and Early Surgical Meniscal Allograft Failure</t>
  </si>
  <si>
    <t>Association of Skeletal Maturity and Injury Risk in Elite Youth Soccer Players: A 4-Season Prospective Study With Survival Analysis</t>
  </si>
  <si>
    <t>Autologous Chondrocyte Implantation "Sandwich" Technique Compared With Autologous Bone Grafting for Deep Osteochondral Lesions in the Knee</t>
  </si>
  <si>
    <t>Better Clinicoradiological Results of BST-CarGel Treatment in Cartilage Repair Compared With Microfracture in Acetabular Chondral Defects at 2 Years</t>
  </si>
  <si>
    <t>Can parallel use of different running shoes decrease running-related injury risk?</t>
  </si>
  <si>
    <t>Cartilage survival of the knee strongly depends on malalignment: a survival analysis from the Osteoarthritis Initiative (OAI)</t>
  </si>
  <si>
    <t>Clinical Outcomes of Hip Arthroscopic Surgery: A Prospective Survival Analysis of Primary and Revision Surgeries in a Large Mixed Cohort</t>
  </si>
  <si>
    <t>Clinical, Radiographic, and MRI Evaluation of All-Inside Medial Meniscus Posterior Root Repair via Suture Fixation to the Posterior Cruciate Ligament Versus Partial Meniscectomy: Results at 3-Year Follow-up</t>
  </si>
  <si>
    <t>Comparable clinical outcome and implant longevity after CT- or MRI-based patient-specific instruments for total knee arthroplasty: a 2-year follow-up of a RCT</t>
  </si>
  <si>
    <t>Debridement and hinged motion distraction is superior to debridement alone in patients with ankle osteoarthritis: a prospective randomized controlled trial</t>
  </si>
  <si>
    <t>Determining the Time Required to Achieve Clinically Significant Outcomes on the PROMIS Upper Extremity Questionnaire After Arthroscopic Rotator Cuff Repair</t>
  </si>
  <si>
    <t>Does Age Influence the Risk of Incident Knee Osteoarthritis After a Traumatic Anterior Cruciate Ligament Injury?</t>
  </si>
  <si>
    <t>Does lucency equate to revision? A five-year retrospective review of Attune and Triathlon total knee arthroplasty</t>
  </si>
  <si>
    <t>Double-bundle non-anatomic ACL revision reconstruction with allograft resulted in a low revision rate at 10 years</t>
  </si>
  <si>
    <t>Early ACLR and Risk and Timing of Secondary Meniscal Injury Compared With Delayed ACLR or Nonoperative Treatment: A Time-to-Event Analysis Using Machine Learning</t>
  </si>
  <si>
    <t>Effect of Graft Choice on Revision and Contralateral Anterior Cruciate Ligament Reconstruction: Results From the New Zealand ACL Registry</t>
  </si>
  <si>
    <t>Effect of High Body Mass Index on Survivorship After Lateral Meniscal Allograft Transplantation: A Propensity Score Matching Analysis</t>
  </si>
  <si>
    <t>Effect of ICRS Lesion Grade on Graft Survival After Medial Meniscal Allograft Transplantation: MRI-Based Objective Evaluation</t>
  </si>
  <si>
    <t>Effect of Insurance Reimbursement Status on Pre- and Postoperative Patient-Reported Outcomes Measurement Information System (PROMIS) Scores After Arthroscopic Rotator Cuff Repair</t>
  </si>
  <si>
    <t>Effect of Osteochondroplasty on Time to Reoperation After Arthroscopic Management of Femoroacetabular Impingement: Analysis of a Randomized Controlled Trial</t>
  </si>
  <si>
    <t>Effect of Tibiofemoral Rotation Angle on Graft Failure After Anterior Cruciate Ligament Reconstruction</t>
  </si>
  <si>
    <t>Effectiveness of an 18-week general strength and foam-rolling intervention on running-related injuries in recreational runners</t>
  </si>
  <si>
    <t>Epidemiology of Ankle Sprains and the Risk of Separation From Service in US Army Soldiers</t>
  </si>
  <si>
    <t>Excellent 10-year patient-reported outcomes and survival in a single-radius, cruciate-retaining total knee arthroplasty</t>
  </si>
  <si>
    <t>Favorable long-term clinical and radiologic outcomes with high survivorship after autologous osteochondral transplantation of the talus</t>
  </si>
  <si>
    <t>Femoral Neck Stress Fracture: Can MRI Grade Help Predict Return-to-Running Time?</t>
  </si>
  <si>
    <t>Foot Core Training to Prevent Running-Related Injuries: A Survival Analysis of a Single-Blind, Randomized Controlled Trial</t>
  </si>
  <si>
    <t>Gait retraining and incidence of medial tibial stress syndrome in army recruits</t>
  </si>
  <si>
    <t>Good survivorship of all-polyethylene tibial component UKA at long-term follow-up</t>
  </si>
  <si>
    <t>Hazard of Arm Injury in Professional Starting and Relief Pitchers</t>
  </si>
  <si>
    <t>Hermes patellofemoral arthroplasty: Annual revision rate and clinical results after two to 20 years of follow-up</t>
  </si>
  <si>
    <t>High patient satisfaction with significant improvement in knee function and pain relief after mid-term follow-up in patients with isolated patellofemoral inlay arthroplasty</t>
  </si>
  <si>
    <t>High survival rate at mid-term follow up of porous tantalum cones for bone defects in revision total knee replacement: A 3-11 years follow up report</t>
  </si>
  <si>
    <t>Higher risk of contralateral anterior cruciate ligament (ACL) injury within 2 years after ACL reconstruction in under-18-year-old patients with steep tibial plateau slope</t>
  </si>
  <si>
    <t>How Long Does It Take to Achieve Clinically Significant Outcomes After Isolated Biceps Tenodesis?</t>
  </si>
  <si>
    <t>How much is enough in rehabilitation? High running workloads following lower limb muscle injury delay return to play but protect against subsequent injury</t>
  </si>
  <si>
    <t>Hyaluronic scaffold transplantation with bone marrow concentrate for the treatment of osteochondral lesions of the talus: durable results up to a minimum of 10 years</t>
  </si>
  <si>
    <t>Incidence of and Factors Associated With the Decision to Undergo Anterior Cruciate Ligament Reconstruction 1 to 10 Years After Injury</t>
  </si>
  <si>
    <t>Increased risk of reoperation and failure to attain clinically relevant improvement following autologous chondrocyte implantation of the knee in female patients and individuals with previous surgeries: a time-to-event analysis based on the German cartilage registry (KnorpelRegister DGOU)</t>
  </si>
  <si>
    <t>Increasing age and female gender are associated with early knee replacement following arthroscopy</t>
  </si>
  <si>
    <t>Influence of Varus Alignment on Survivorship After Lateral Meniscal Allograft Transplantation</t>
  </si>
  <si>
    <t>Injuries and illnesses in Swedish Paralympic athletes-A 52-week prospective study of incidence and risk factors</t>
  </si>
  <si>
    <t>Joint Line Obliquity Does Not Affect the Outcomes of Opening Wedge High Tibial Osteotomy at an Average 10-Year Follow-up</t>
  </si>
  <si>
    <t>Length of stay and its impact upon functional outcomes following lower limb arthroplasty</t>
  </si>
  <si>
    <t>Less risk of conversion to total knee arthroplasty without significant clinical and survivorship difference for opening-wedge high tibial osteotomies in varus knee deformities at 10-year minimum follow-up compared to closing-wedge high tibial osteotomies</t>
  </si>
  <si>
    <t>Long-term Outcomes and Survivorship of Fresh-Frozen Meniscal Allograft Transplant With Soft Tissue Fixation: Minimum 10-Year Follow-up Study</t>
  </si>
  <si>
    <t>Long-term Outcomes of Autologous Chondrocyte Implantation in Adolescent Patients</t>
  </si>
  <si>
    <t>Long-term results of arthroscopic Bankart repair: Minimum 10 years of follow-up</t>
  </si>
  <si>
    <t>Long-term Survival Analysis of Meniscus Allograft Transplantation With Bone Fixation</t>
  </si>
  <si>
    <t>Long-term survival is similar between closed-wedge high tibial osteotomy and unicompartmental knee arthroplasty in patients with similar demographics</t>
  </si>
  <si>
    <t>Long-term Survivorship and Function of Meniscus Transplantation</t>
  </si>
  <si>
    <t>Lower Extremity Musculoskeletal Injury in US Military Academy Cadet Basic Training: A Survival Analysis Evaluating Sex, History of Injury, and Body Mass Index</t>
  </si>
  <si>
    <t>Lower revision rates for cemented fixation in a long-term survival analysis of three different LCS designs</t>
  </si>
  <si>
    <t>Lower-Extremity Injury Increases Risk of First-Time Low Back Pain in the US Army</t>
  </si>
  <si>
    <t>Medial shoe-ground pressure and specific running injuries: A 1-year prospective cohort study</t>
  </si>
  <si>
    <t>Meniscal integrity predicts laxity of anterior cruciate ligament reconstruction</t>
  </si>
  <si>
    <t>Meniscal repair failure following concurrent primary anterior cruciate ligament reconstruction: results from the New Zealand ACL Registry</t>
  </si>
  <si>
    <t>Mesenchymal Stem Cell Implantation in Knee Osteoarthritis: Midterm Outcomes and Survival Analysis in 467 Patients</t>
  </si>
  <si>
    <t>Minimally invasive lateral unicompartmental knee replacement: Early results from an independent center using the Oxford fixed lateral prosthesis</t>
  </si>
  <si>
    <t>Minimally invasive Oxford medial unicompartmental knee arthroplasty in young patients</t>
  </si>
  <si>
    <t>Modern cemented total knee arthroplasty design shows a higher incidence of radiolucent lines compared to its predecessor</t>
  </si>
  <si>
    <t>Monitoring of sport participation and injury risk in young athletes</t>
  </si>
  <si>
    <t>Multiple factors explain injury risk in adolescent elite athletes: Applying a biopsychosocial perspective</t>
  </si>
  <si>
    <t>National Football League Skilled and Unskilled Positions Vary in Opportunity and Yield in Return to Play After an Anterior Cruciate Ligament Injury</t>
  </si>
  <si>
    <t>No difference in mid-term survival and clinical outcome between patient-specific and conventional instrumented total knee arthroplasty: a randomized controlled trial</t>
  </si>
  <si>
    <t>No effect of fixation type on early and late mortality after total knee arthroplasty: a Dutch arthroplasty register study</t>
  </si>
  <si>
    <t>Nonoperative Treatment of Elbow Ulnar Collateral Ligament Injuries With and Without Platelet-Rich Plasma in Professional Baseball Players: A Comparative and Matched Cohort Analysis</t>
  </si>
  <si>
    <t>Operative shoulder instability injury management in Australian Football League players: A case series</t>
  </si>
  <si>
    <t>Partial lateral facetectomy plus Insall's procedure for the treatment of isolated patellofemoral osteoarthritis: survival analysis</t>
  </si>
  <si>
    <t>Partial Meniscectomy for Degenerative Medial Meniscal Root Tears Shows Favorable Outcomes in Well-Aligned, Nonarthritic Knees</t>
  </si>
  <si>
    <t>Patient satisfaction and clinical outcomes of reverse shoulder arthroplasty: a minimum of 10 years' follow-up</t>
  </si>
  <si>
    <t>Patients aged 50-75 years take longer to achieve the patient acceptable symptom state than patients aged 20-34 years following primary hip arthroscopy for femoroacetabular impingement syndrome</t>
  </si>
  <si>
    <t>Personalized Medicine Using Predictive Analytics: A Machine Learning-Based Prognostic Model for Patients Undergoing Hip Arthroscopy</t>
  </si>
  <si>
    <t>Polyurethane Meniscal Scaffold for the Treatment of Partial Meniscal Deficiency: 5-Year Follow-up Outcomes: A European Multicentric Study</t>
  </si>
  <si>
    <t>Postoperative flares and peri-arthroscopic management of immunosuppressive medications in patients with rheumatic disease</t>
  </si>
  <si>
    <t>Predicting the Risk of Posttraumatic Osteoarthritis After Primary Anterior Cruciate Ligament Reconstruction: A Machine Learning Time-to-Event Analysis</t>
  </si>
  <si>
    <t>Preventive effect of tailored exercises on patellar tendinopathy in elite youth athletes: A cohort study</t>
  </si>
  <si>
    <t>Primary Hip Arthroscopy for Femoroacetabular Impingement Syndrome in Adolescents Improves Outcomes and Clinical Benefit Achievement Rates at Short-Term Follow-Up: A Multicenter Analysis</t>
  </si>
  <si>
    <t>ProjectRun21: Do running experience and running pace influence the risk of running injury - A 14-week prospective cohort study</t>
  </si>
  <si>
    <t>Rates of revision and surgeon-reported graft rupture following ACL reconstruction: early results from the New Zealand ACL Registry</t>
  </si>
  <si>
    <t>Reactive postural responses predict risk for acute musculoskeletal injury in collegiate athletes</t>
  </si>
  <si>
    <t>Return to Play and Recurrence After Calf Muscle Strain Injuries in Elite Australian Football Players</t>
  </si>
  <si>
    <t>Return to play, performance, and career duration after anterior cruciate ligament rupture: A case-control study in the five biggest football nations in Europe</t>
  </si>
  <si>
    <t>Return-to-play probabilities following new versus recurrent ankle sprains in high school athletes</t>
  </si>
  <si>
    <t>Revision Risk After Allograft Anterior Cruciate Ligament Reconstruction: Association With Graft Processing Techniques, Patient Characteristics, and Graft Type</t>
  </si>
  <si>
    <t>Risk Factors for Injury Among Japanese Collegiate Players of American Football Based on Performance Test Results</t>
  </si>
  <si>
    <t>Root Repair Versus Partial Meniscectomy for Medial Meniscus Posterior Root Tears: Comparison of Long-term Survivorship and Clinical Outcomes at Minimum 10-Year Follow-up</t>
  </si>
  <si>
    <t>Seventy percent long-term survival of the repaired ACL after dynamic intraligamentary stabilization</t>
  </si>
  <si>
    <t>Shoe Cushioning Influences the Running Injury Risk According to Body Mass: A Randomized Controlled Trial Involving 848 Recreational Runners</t>
  </si>
  <si>
    <t>Shorter Storage Time Is Strongly Associated With Improved Graft Survivorship at 5 Years After Osteochondral Allograft Transplantation</t>
  </si>
  <si>
    <t>Shorter time to first injury in first year professional football players: A cross-club comparison in the Australian Football League</t>
  </si>
  <si>
    <t>Short-term Outcomes Following Concussion in the NFL: A Study of Player Longevity, Performance, and Financial Loss</t>
  </si>
  <si>
    <t>Similar survivorship at the 5-year follow-up comparing robotic-assisted and conventional lateral unicompartmental knee arthroplasty</t>
  </si>
  <si>
    <t>Sink or Swim? A survival analysis of sport dropout in Australian youth swimmers</t>
  </si>
  <si>
    <t>Sitting patterns in cardiovascular disease patients compared with healthy controls and impact of cardiac rehabilitation</t>
  </si>
  <si>
    <t>St Georg Sled medial unicompartmental arthroplasty: survivorship analysis and function at 20 years follow up</t>
  </si>
  <si>
    <t>Subsequent Surgery Up to 10 Years After Osteochondral Allograft and Osteochondral Autograft: An Analysis of More Than 2000 Patients</t>
  </si>
  <si>
    <t>Superior long-term survival for fixed bearing compared with mobile bearing in ligament-balanced total knee arthroplasty</t>
  </si>
  <si>
    <t>Survival Analysis of Revision Autologous Chondrocyte Implantation for Failed ACI</t>
  </si>
  <si>
    <t>Survival and reoperation rates after meniscal allograft transplantation: analysis of failures for 172 consecutive transplants at a minimum 2-year follow-up</t>
  </si>
  <si>
    <t>Survivorship After Meniscal Allograft Transplantation According to Articular Cartilage Status</t>
  </si>
  <si>
    <t>Survivorship and clinical outcomes of 147 consecutive isolated or combined arthroscopic bone plug free meniscal allograft transplantation</t>
  </si>
  <si>
    <t>Suspensory Versus Interference Tibial Fixation of Hamstring Tendon Autografts in Anterior Cruciate Ligament Reconstruction: Results From the New Zealand ACL Registry</t>
  </si>
  <si>
    <t>Talent in Female Gymnastics: a Survival Analysis Based upon Performance Characteristics</t>
  </si>
  <si>
    <t>The Association Between Changes in Weekly Running Distance and Running-Related Injury: Preparing for a Half Marathon</t>
  </si>
  <si>
    <t>The association between Y-balance test scores, injury, and physical performance in elite adolescent Australian footballers</t>
  </si>
  <si>
    <t>The Course of Concussion Recovery in Children 6-12 Years of Age: Experience From an Interdisciplinary Rehabilitation Clinic</t>
  </si>
  <si>
    <t>The effect of patient, provider and surgical factors on survivorship of high tibial osteotomy to total knee arthroplasty: a population-based study</t>
  </si>
  <si>
    <t>The impact of concussion on subsequent injury risk in elite junior Australian football athletes</t>
  </si>
  <si>
    <t>The Incidence of Subsequent Meniscal Surgery Is Higher in the Anterior Cruciate Ligament-Reconstructed Knee Than in the Contralateral Knee</t>
  </si>
  <si>
    <t>The influence of initial selection age, relative age effect and country long-term performance on the re-selection process in European basketball youth national teams</t>
  </si>
  <si>
    <t>The Role of Reported Affective Symptoms and Anxiety in Recovery Trajectories After Sport-Related Concussion</t>
  </si>
  <si>
    <t>The self-aligning knee prosthesis: clinical and radiological outcome and survival analysis of a cruciate retaining meniscal bearing knee at 10-year follow-up</t>
  </si>
  <si>
    <t>Tibial component alignment and risk of loosening in unicompartmental knee arthroplasty: a radiographic and radiostereometric study</t>
  </si>
  <si>
    <t>Time-to-Event Analyses: Return to Unrestricted Participation After Sport-Related Concussion in a Cohort of High School Athletes</t>
  </si>
  <si>
    <t>Transitioning to Barefoot Running Using a Minimalist Shoe Intermediary: A Prospective Cohort Study</t>
  </si>
  <si>
    <t>Treatment of Painful, Irreparable Partial Meniscal Defects With a Polyurethane Scaffold: Midterm Clinical Outcomes and Survival Analysis</t>
  </si>
  <si>
    <t>Trends in concussion return-to-play timelines among high school athletes from 2007 through 2009</t>
  </si>
  <si>
    <t>UniCAP offers a long term treatment for middle-aged patients, who are not revised within the first 9 years</t>
  </si>
  <si>
    <t>Younger patients with high varus malalignment of the contralateral knee may be candidates for simultaneous bilateral total knee arthroplasty</t>
  </si>
  <si>
    <t>Cox regression and general linear models</t>
  </si>
  <si>
    <t>Snaebjörnsson, T., Hamrin Senorski, E., Sundemo, D., Svantesson, E., Westin, O., Musahl, V., Alentorn-Geli, E., &amp; Samuelsson, K. (2017).</t>
  </si>
  <si>
    <t>Sweden</t>
  </si>
  <si>
    <t>Swedish National Knee Ligament Register</t>
  </si>
  <si>
    <t>Kaplan-Meier</t>
  </si>
  <si>
    <t>[13-52]</t>
  </si>
  <si>
    <t>Ogura, T., Mosier, B. A., Bryant, T., &amp; Minas, T. (2017).</t>
  </si>
  <si>
    <t>AMERICAN JOURNAL OF SPORTS MEDICINE</t>
  </si>
  <si>
    <t>Louer, C. R., Pashos, G., Clohisy, J. C., &amp; Nepple, J. J. (2018).</t>
  </si>
  <si>
    <t>To determine rates of initial and subsequent symptom development in the contralateral hip of patients with symptomatic FAI</t>
  </si>
  <si>
    <t>Identify predictors of the development of symptomatic contralateral FAI</t>
  </si>
  <si>
    <t>Sperandei, S., Vieira, M. C., &amp; Reis, A. C. (2016).</t>
  </si>
  <si>
    <t>Brazil</t>
  </si>
  <si>
    <t>To evaluate the attrition rate of members of a fitness center in the city of Rio de Janeiro and the potential explanatory variables for the phenomenon</t>
  </si>
  <si>
    <t>JOURNAL OF SCIENCE AND MEDICINE IN SPORT</t>
  </si>
  <si>
    <t>Song, J. H., Bin, S. I., Kim, J. M., Lee, B. S., Park, J. G., &amp; Lee, S. M. (2023).</t>
  </si>
  <si>
    <t>To evaluate the effect of age itself on the joint survivorship after arthroscopic partial meniscectomy (APM) for degenerative medial meniscus tears (DMTs)</t>
  </si>
  <si>
    <t>Law, M. A., Ko, Y. A., Miller, A. L., Lauterbach, K. N., Hendley, C. L., Johnson, J. E., &amp; Tsai, L. C. (2021).</t>
  </si>
  <si>
    <t>PHYSICAL THERAPY IN SPORT</t>
  </si>
  <si>
    <t>Adolescents</t>
  </si>
  <si>
    <t>To examine the effect of age on post-ACLR rehabilitative outcomes</t>
  </si>
  <si>
    <t>Identify surgical/rehabilitative characteristics as ACL re-injury risk factors in adolescents</t>
  </si>
  <si>
    <t>Kettunen, J. A., Kujala, U. M., Kaprio, J., Bäckmand, H., Peltonen, M., Eriksson, J. G., &amp; Sarna, S. (2015).</t>
  </si>
  <si>
    <t>To investigate life expectancy and mortality among former elite athletes and controls</t>
  </si>
  <si>
    <t>Former elite athletes</t>
  </si>
  <si>
    <t>Male</t>
  </si>
  <si>
    <t>National death registry of Finland</t>
  </si>
  <si>
    <t>To calculate rates of graft rupture and contralateral ACL rupture after ACLR in a large pediatric series.</t>
  </si>
  <si>
    <t>DeFrancesco, C. J., Striano, B. M., Bram, J. T., Baldwin, K. D., &amp; Ganley, T. J. (2020).</t>
  </si>
  <si>
    <t>[13-69]</t>
  </si>
  <si>
    <t>Stone, K. R., Pelsis, J. R., Na, K., Walgenbach, A. W., &amp; Turek, T. J. (2017).</t>
  </si>
  <si>
    <t>To evaluate the clinical outcomes of the articular cartilage paste graft procedure at a minimum of 10 years from surgery</t>
  </si>
  <si>
    <t>To evaluate the prevalence, types, and distribution of arthroscopically confirmed meniscal allograft tears</t>
  </si>
  <si>
    <t>To evaluate the associated effect on surgical meniscal allograft survival</t>
  </si>
  <si>
    <t>Winkler, P. W., Wagala, N. N., Hughes, J. D., Irrgang, J. J., Fu, F. H., &amp; Musahl, V. (2021).</t>
  </si>
  <si>
    <t>&lt;19</t>
  </si>
  <si>
    <t>Football</t>
  </si>
  <si>
    <t>ORTHOPAEDIC JOURNAL OF SPORTS MEDICINE</t>
  </si>
  <si>
    <t>Materne, O., Chamari, K., Farooq, A., Weir, A., Hölmich, P., Bahr, R., Greig, M., &amp; McNaughton, L. R. (2021).</t>
  </si>
  <si>
    <t>Elite youth soccer players</t>
  </si>
  <si>
    <t>To prospectively investigate injury patterns and incidence in relation to skeletal maturity in elite youth academy soccer players</t>
  </si>
  <si>
    <t>Minas, T., Ogura, T., Headrick, J., &amp; Bryant, T. (2018).</t>
  </si>
  <si>
    <t>To describe the autologous chondrocyte implantation (ACI) "sandwich" technique with autologous bone grafting (ABG) and compare it with ABG alone for restoration of the osteochondral unit</t>
  </si>
  <si>
    <t>To determine the injury risks associated with the skeletal maturity status, both overall and to the lower limb apophysis</t>
  </si>
  <si>
    <t>Young Adults</t>
  </si>
  <si>
    <t>John, R., Ma, J., &amp; Wong, I. (2020).</t>
  </si>
  <si>
    <t>To evaluate short-term clinicoradiological outcomes of patients treated arthroscopically for acetabular chondral defects with CarGel in conjunction with MF compared with those treated with MF alone</t>
  </si>
  <si>
    <t>Running</t>
  </si>
  <si>
    <t>Recreational runners</t>
  </si>
  <si>
    <t>Malisoux, L., Ramesh, J., Mann, R., Seil, R., Urhausen, A., &amp; Theisen, D. (2015).</t>
  </si>
  <si>
    <t>To determine if runners who use concomitantly different pairs of running shoes are at a lower risk of running-related injury</t>
  </si>
  <si>
    <t>To establish a timeline of "cartilage survival rate" per subregion of the knee in relation to mechanical alignment of the lower extremity</t>
  </si>
  <si>
    <t>Faschingbauer, M., Kasparek, M., Waldstein, W., Schadler, P., Reichel, H., &amp; Boettner, F. (2020).</t>
  </si>
  <si>
    <t>Osteoarthritis Initiative (OAI)</t>
  </si>
  <si>
    <t>Domb, B. G., Gui, C., Hutchinson, M. R., Nho, S. J., Terry, M. A., &amp; Lodhia, P. (2016).</t>
  </si>
  <si>
    <t>To perform a survival analysis in a large mixed cohort of patients undergoing hip arthroscopic surgery at a high-volume tertiary referral center for hip preservation with a minimum 2-year follow-up</t>
  </si>
  <si>
    <t>To compare clinical outcomes of primary versus revision hip arthroscopic surgery</t>
  </si>
  <si>
    <t>Su J, Wan H, Pang Y, Lu Y, Liang J, Yan Z, Xu S, Sun T. (2023)</t>
  </si>
  <si>
    <t>To compare the clinical, radiographic, and magnetic resonance imaging (MRI) outcomes of patients with MMPRT between trans-posterior cruciate ligament (trans-PCL) all-inside repair and partial meniscectomy</t>
  </si>
  <si>
    <t>Thijs, E., Theeuwen, D., Boonen, B., van Haaren, E., Hendrickx, R., Vos, R., Borghans, R., Kort, N., &amp; Schotanus, M. G. M. (2020)</t>
  </si>
  <si>
    <t> To assess differences in revision rate and clinical outcome between the two groups at 2-year follow-up</t>
  </si>
  <si>
    <t>NFL injury reports</t>
  </si>
  <si>
    <t>To investigate the impact of different surgical techniques in index ACL reconstruction for patients undergoing contralateral ACL reconstruction.</t>
  </si>
  <si>
    <t>To evaluate clinical outcomes after first-generation ACI for the treatment of knees with disabling, large single and multiple cartilage defects for which patients wished to avoid prosthetic arthroplasty, with a minimum of 20 years' follow-up</t>
  </si>
  <si>
    <t>To determine whether physical activity is associated with healthy ageing in later life</t>
  </si>
  <si>
    <t>To evaluate the link between ACL reconstruction with and without anterolateral ligament (ALL) reconstruction and outcomes in young patients participating in pivoting sports</t>
  </si>
  <si>
    <t>To investigate the contextual effect of community-level prevalence of sports group participation on the risk of cognitive impairment among older individuals</t>
  </si>
  <si>
    <t>To assess the odds of post-concussion MSK injury utilizing publicly available National Football League (NFL) injury reports</t>
  </si>
  <si>
    <t>Herrera-Perez, M., Alrashidi, Y., Galhoum, A. E., Kahn, T. L., Valderrabano, V., &amp; Barg, A. (2019).</t>
  </si>
  <si>
    <t>To evaluate and compare complication rates and postoperative outcomes in patients with ankle debridement alone vs. debridement and hinged ankle distraction arthroplasty</t>
  </si>
  <si>
    <t>To determine the time required to achieve the minimal clinically important difference (MCID), substantial clinical benefit (SCB), and Patient Acceptable Symptom State (PASS) score thresholds after RCR for the PROMIS-UE questionnaire</t>
  </si>
  <si>
    <t>Identify patient factors associated with earlier or delayed achievement of these clinical benchmarks</t>
  </si>
  <si>
    <t>Polce, E. M., Vadhera, A. S., Fu, M. C., Singh, H., Haunschild, E. D., Garrigues, G. E., Yanke, A. B., Forsythe, B., Cole, B. J., &amp; Verma, N. N. (2023).</t>
  </si>
  <si>
    <t>To identify whether an older adult population had an increased risk of incident radiographic knee OA after a traumatic knee injury compared with a young adult population</t>
  </si>
  <si>
    <t>Johnson, V. L., Roe, J. P., Salmon, L. J., Pinczewski, L. A., &amp; Hunter, D. J. (2016).</t>
  </si>
  <si>
    <t>Ireland</t>
  </si>
  <si>
    <t>O'Donovan, P., McAleese, T., &amp; Harty, J. (2023).</t>
  </si>
  <si>
    <t>To compare the incidence of radiolucent lines, survivorship and patient reported outcome-measures between the Attune® system and the well-established Triathlon® system</t>
  </si>
  <si>
    <t>Reporting the long-term second revision rate and subjective clinical outcomes from a cohort of patients who underwent a double-bundle (DB) ACLR first revision with allograft at a single institution</t>
  </si>
  <si>
    <t>Macchiarola, L., Pizza, N., Patania, V., Grassi, A., Dal Fabbro, G., Marcacci, M., &amp; Zaffagnini, S. (2023).</t>
  </si>
  <si>
    <t>&lt;=40</t>
  </si>
  <si>
    <t>Lu, Y., Jurgensmeier, K., Till, S. E., Reinholz, A., Saris, D. B. F., Camp, C. L., &amp; Krych, A. J. (2022).</t>
  </si>
  <si>
    <t>To compare risk and timing of secondary meniscal injury between patients receiving nonoperative management, delayed ACL reconstruction (ACLR), and early ACLR using a machine learning survival analysis</t>
  </si>
  <si>
    <t>New Zealand</t>
  </si>
  <si>
    <t>New Zealand ACL Registry</t>
  </si>
  <si>
    <t>Cox Regression Survival Analysis</t>
  </si>
  <si>
    <t>Rahardja, R., Zhu, M., Love, H., Clatworthy, M. G., Monk, A. P., &amp; Young, S. W. (2020).</t>
  </si>
  <si>
    <t>To clarify the association between graft choice and the risk of revision and contralateral ACL reconstruction</t>
  </si>
  <si>
    <t>To investigate the impact of preoperative body mass index (BMI) on the survivorship of lateral meniscal allograft transplantation (MAT)</t>
  </si>
  <si>
    <t>Lee, J., Bin, S. I., Kim, J. M., Lee, B. S., Jeon, T., Bae, K., &amp; Kim, D. (2023).</t>
  </si>
  <si>
    <t>Lee, S. J., Bin, S. I., Kim, J. M., Lee, B. S., Kim, S. M., &amp; Lee, H. Y. (2022).</t>
  </si>
  <si>
    <t>To investigate the prognostic factors and survival rate of allograft after medial MAT</t>
  </si>
  <si>
    <t>To investigate the influence of insurance reimbursement status on patient-reported outcomes after arthroscopic rotator cuff repair</t>
  </si>
  <si>
    <t>Anderson, D. E., Shaikh, H. J. F., Chait, A. R., Ramirez, G., Bronstein, R. D., Goldblatt, J. P., Giordano, B. D., Maloney, M. D., Nicandri, G. T., Voloshin, I., &amp; Mannava, S. (2023).</t>
  </si>
  <si>
    <t>Cox proportional hazards model</t>
  </si>
  <si>
    <t>Multinational Femoroacetabular Impingement Randomized controlled Trial</t>
  </si>
  <si>
    <t>[18-50]</t>
  </si>
  <si>
    <t>Kay, J., Simunovic, N., Ayeni, O. R., FIRST Investigators, Bhandari, M., Bedi, A., Järvinen, T., Musahl, V., Naudie, D., Seppänen, M., Slobogean, G., Thabane, L., Duong, A., Skelly, M., Shanmugaraj, A., Crouch, S., Sprague, S., Heels-Ansdell, D., Buckingham, L., Ramsay, T., … Pirjetta Routapohja, M. (2022).</t>
  </si>
  <si>
    <t>To compare the effect of arthroscopic osteochondroplasty with or without labral repair versus arthroscopic lavage with or without labral repair on the time to reoperation in adults aged 18 to 50 years with FAI</t>
  </si>
  <si>
    <t>To evaluate whether increased tibiofemoral rotational malalignment, namely, tibiofemoral rotation angle (TFA) and tibial tubercle-trochlear groove (TT-TG) distance, is associated with graft failure after ACLR</t>
  </si>
  <si>
    <t>Leite, C. B. G., Merkely, G., Farina, E. M., Smith, R., Görtz, S., Hazzard, S., Asnis, P., &amp; Lattermann, C. (2023).</t>
  </si>
  <si>
    <t>To evaluate effectiveness of an 18-week general strength and foam-rolling intervention on the incidence of running-related injuries</t>
  </si>
  <si>
    <t>Desai, P., Jungmalm, J., Börjesson, M., Karlsson, J., &amp; Grau, S. (2023).</t>
  </si>
  <si>
    <t>Soldiers</t>
  </si>
  <si>
    <t>To report the incidence rate of ankle sprains in active-duty soldiers</t>
  </si>
  <si>
    <t>To examine if soldiers who sustain ankle sprain injuries are more likely to leave the Army than those who do not sustain an ankle sprain</t>
  </si>
  <si>
    <t>Bulathsinhala, L., Hill, O. T., Scofield, D. E., Haley, T. F., &amp; Kardouni, J. R. (2015).</t>
  </si>
  <si>
    <t>US Army population</t>
  </si>
  <si>
    <t>[21-89]</t>
  </si>
  <si>
    <t>To report the 10-year survival and patient-reported outcome of the Triathlon TKA in a single independent centre</t>
  </si>
  <si>
    <t>Scott, C. E. H., Bell, K. R., Ng, R. T., MacDonald, D. J., Patton, J. T., &amp; Burnett, R. (2019).</t>
  </si>
  <si>
    <t>Winkler, P. W., Geyer, S., Walzl, D., Woertler, K., Paul, J., Siebenlist, S., Imhoff, A. B., &amp; Achtnich, A. (2023).</t>
  </si>
  <si>
    <t>To evaluate long-term clinical and radiologic outcomes of patients undergoing autologous osteochondral transplantation (AOT) for osteochondral lesions of the talus (OLT)</t>
  </si>
  <si>
    <t>To perform a correlation analysis between clinical and radiologic outcomes</t>
  </si>
  <si>
    <t>[18-51]</t>
  </si>
  <si>
    <t>To determine if the grade of femoral neck stress fractures based on magnetic resonance imaging (MRI) characteristics correlates with RTR time</t>
  </si>
  <si>
    <t>Cox proportional hazards model and Cox Regression</t>
  </si>
  <si>
    <t>Ramey, L. N., McInnis, K. C., &amp; Palmer, W. E. (2016).</t>
  </si>
  <si>
    <t>Taddei, U. T., Matias, A. B., Duarte, M., &amp; Sacco, I. C. N. (2020).</t>
  </si>
  <si>
    <t>NCT02306148 (ClinicalTrials.gov identifier)</t>
  </si>
  <si>
    <t>Recreational Runners</t>
  </si>
  <si>
    <t>To investigate the efficacy of a novel foot core strengthening protocol based on a ground-up approach to reduce the incidence of RRIs in recreational long-distance runners over the course of a 1-year follow-up</t>
  </si>
  <si>
    <t>UK</t>
  </si>
  <si>
    <t>National Hockey League</t>
  </si>
  <si>
    <t>Army</t>
  </si>
  <si>
    <t>To examine the effect of a gait-retraining program on medial tibial stress syndrome incidence during a 26-wk basic military training regimen</t>
  </si>
  <si>
    <t>Sharma, J., Weston, M., Batterham, A. M., &amp; Spears, I. R. (2014).</t>
  </si>
  <si>
    <t>Bruni, D., Gagliardi, M., Akkawi, I., Raspugli, G. F., Bignozzi, S., Marko, T., Bragonzoni, L., Grassi, A., &amp; Marcacci, M. (2016).</t>
  </si>
  <si>
    <t>To determine the long-term survival rate of an all-polyethylene tibial unicompartmental knee arthroplasty (UKA) in a large series of consecutive patients and to investigate the possible factors that could influence the outcome</t>
  </si>
  <si>
    <t>Baseball</t>
  </si>
  <si>
    <t>To investigate differences between professional baseball starting and relief pitchers in the hazard of arm injury and elbow and shoulder injury</t>
  </si>
  <si>
    <t>JOURNAL OF ATHLETIC TRAINING</t>
  </si>
  <si>
    <t>Bullock, G. S., Thigpen, C. A., Collins, G. S., Arden, N. K., Noonan, T. K., Kissenberth, M. J., &amp; Shanley, E. (2022).</t>
  </si>
  <si>
    <t>Pitchers</t>
  </si>
  <si>
    <t>THE KNEE</t>
  </si>
  <si>
    <t>Bohu, Y., Klouche, S., Sezer, H. B., Gerometta, A., Lefevre, N., &amp; Herman, S. (2019).</t>
  </si>
  <si>
    <t>To determine the revision rate of the Hermes™ (Ceraver) anatomical unconstrained PFA</t>
  </si>
  <si>
    <t>Imhoff, A. B., Feucht, M. J., Bartsch, E., Cotic, M., &amp; Pogorzelski, J. (2019)</t>
  </si>
  <si>
    <t>To prospectively evaluate the clinical and radiographic outcomes and survivorship at 2 and 5 years after isolated contemporary patellofemoral inlay arthroplasty</t>
  </si>
  <si>
    <t>Rossi, S. M. P., Perticarini, L., Ghiara, M., Jannelli, E., Cortesi, L., &amp; Benazzo, F. (2022).</t>
  </si>
  <si>
    <t>&lt;18</t>
  </si>
  <si>
    <t>Grassi, A., Pizza, N., Zambon Bertoja, J., Macchiarola, L., Lucidi, G. A., Dal Fabbro, G., &amp; Zaffagnini, S. (2021).</t>
  </si>
  <si>
    <t>To assess the role of Tibial Plateau Slope (TPS) as risk factor for early Anterior Cruciate Ligament (ACL) reconstruction failure and contralateral ACL injury in a population of patients with less than 18 years of age and operated on with the same surgical technique</t>
  </si>
  <si>
    <t>To evaluate outcomes, including complications and re-operations, radiographic assessment of cones osteointegration, and survivorship</t>
  </si>
  <si>
    <t>Lu, Y., Agarwalla, A., Lavoie-Gagne, O., Patel, B. H., Beletsky, A., Nwachukwu, B. U., Verma, N. N., Cole, B. J., &amp; Forsythe, B. (2022).</t>
  </si>
  <si>
    <t>Australian football</t>
  </si>
  <si>
    <t>Australian football players</t>
  </si>
  <si>
    <t>Stares, J., Dawson, B., Peeling, P., Drew, M., Heasman, J., Rogalski, B., &amp; Colby, M. (2018).</t>
  </si>
  <si>
    <t>To examine the influence of rehabilitation training loads on return to play (RTP) time and subsequent injury in elite Australian footballers</t>
  </si>
  <si>
    <t>To define the time-dependent nature of minimal clinically important difference (MCID), substantial clinical benefit (SCB), and Patient Acceptable Symptom State (PASS) achievement after isolated BT</t>
  </si>
  <si>
    <t>Vannini, F., Berveglieri, L., Boffa, A., Filardo, G., Viglione, V., Buda, R., Giannini, S., &amp; Faldini, C. (2023).</t>
  </si>
  <si>
    <t>To evaluate the long-term clinical results of the transplantation of a hyaluronic acid membrane augmented with bone marrow aspirate concentrate (BMAC) in an one-step technique for the treatment of patients affected by osteochondral lesions of the talus (OLT)</t>
  </si>
  <si>
    <t>To define the rate of delayed ACL reconstruction (between 1 and 10 years after injury) in a population-based cohort of isolated ACL tears</t>
  </si>
  <si>
    <t>To evaluate predictive factors associated with delayed reconstruction</t>
  </si>
  <si>
    <t>Sanders, T. L., Maradit Kremers, H., Bryan, A. J., Kremers, W. K., Levy, B. A., Dahm, D. L., Stuart, M. J., &amp; Krych, A. J. (2016).</t>
  </si>
  <si>
    <t>Bumberger, A., Rupp, M. C., Lattermann, C., Kleiner, A., &amp; Niemeyer, P. (2023).</t>
  </si>
  <si>
    <t>To analyze the risk of reoperation following autologous chondrocyte implantation (ACI) of the knee utilizing third-generation ACI products in a time-to-event analysis</t>
  </si>
  <si>
    <t>Report on the associated patient-reported outcome measures (PROM) in case of reoperation</t>
  </si>
  <si>
    <t>Cox regression models</t>
  </si>
  <si>
    <t>[68-77]</t>
  </si>
  <si>
    <t>Jameson, S. S., Rushton, S. P., Dowen, D., Baker, P., James, P., Reed, M. R., &amp; Deehan, D. (2014).</t>
  </si>
  <si>
    <t>To explore factors that may be associated with increased risk of early replacement, as early knee replacement following arthroscopy may be perceived as a failure of the original treatment and thus a poor use of resources</t>
  </si>
  <si>
    <t>Purpose of the analysis</t>
  </si>
  <si>
    <t>Identify dates or events</t>
  </si>
  <si>
    <t>Circumstances data censored</t>
  </si>
  <si>
    <t>Assumptions of survival analysis</t>
  </si>
  <si>
    <t>Give the estimated survival probability</t>
  </si>
  <si>
    <t>Reporting median survival times</t>
  </si>
  <si>
    <t>Results in a graph or table</t>
  </si>
  <si>
    <t>Report the P value</t>
  </si>
  <si>
    <t>Regression model</t>
  </si>
  <si>
    <t>Measure of risk</t>
  </si>
  <si>
    <t>Yes</t>
  </si>
  <si>
    <t>Partial</t>
  </si>
  <si>
    <t>Kaplan-Meier Survival analysis and univariate analysis</t>
  </si>
  <si>
    <t>30.9</t>
  </si>
  <si>
    <t>31.1</t>
  </si>
  <si>
    <t>[13-49]</t>
  </si>
  <si>
    <t>Frequentist</t>
  </si>
  <si>
    <t>SPSS</t>
  </si>
  <si>
    <t>Kaplan-Meier estimation and Cox Regression</t>
  </si>
  <si>
    <t>[41-77]</t>
  </si>
  <si>
    <t>R</t>
  </si>
  <si>
    <t>SAS</t>
  </si>
  <si>
    <t>[10-19]</t>
  </si>
  <si>
    <t>Children’s Healthcare of Atlanta</t>
  </si>
  <si>
    <t>Cox Regression and multivariate regression</t>
  </si>
  <si>
    <t>Endurance</t>
  </si>
  <si>
    <t>Basketball</t>
  </si>
  <si>
    <t>No</t>
  </si>
  <si>
    <t>Qatar</t>
  </si>
  <si>
    <t>STATA</t>
  </si>
  <si>
    <t>[45-79]</t>
  </si>
  <si>
    <t>Kaplan–Meier survival curves and Cox Regression</t>
  </si>
  <si>
    <t>Japan Gerontological Evaluation Study (JAGES)</t>
  </si>
  <si>
    <t>The Netherlands</t>
  </si>
  <si>
    <t>26.7</t>
  </si>
  <si>
    <t>High-impact sports</t>
  </si>
  <si>
    <t>Kaplan-Meier analysis with Log Rank method. Also a Kruskal-Wallis Test comparison</t>
  </si>
  <si>
    <t>&gt;=18</t>
  </si>
  <si>
    <t>MedCalc</t>
  </si>
  <si>
    <t>Machine learning survival analysis with random survival forest algorithms (machine learning)</t>
  </si>
  <si>
    <t>33.2</t>
  </si>
  <si>
    <t>Gothenburg Half Marathon Association</t>
  </si>
  <si>
    <t>[21-55]</t>
  </si>
  <si>
    <t>Semi-parametric Cox proportional hazard model and Kaplan-Meier Curves</t>
  </si>
  <si>
    <t>[68-90</t>
  </si>
  <si>
    <t>Kaplan-Meier survival analysis log-rank method and Cox regression</t>
  </si>
  <si>
    <t>&gt;=16</t>
  </si>
  <si>
    <t>&gt;=17</t>
  </si>
  <si>
    <t>Minor League Baseball (MiLB)</t>
  </si>
  <si>
    <t>[31.3-82.1]</t>
  </si>
  <si>
    <t>Germany</t>
  </si>
  <si>
    <t>[52-80]</t>
  </si>
  <si>
    <t>Multivariate analysis</t>
  </si>
  <si>
    <t>Italy</t>
  </si>
  <si>
    <t>32.9</t>
  </si>
  <si>
    <t>German Cartilage Registry (KnorpelRegister DGOU)</t>
  </si>
  <si>
    <t>Prism 9 (GraphPad Software)</t>
  </si>
  <si>
    <t>National Health Service (NHS)</t>
  </si>
  <si>
    <t>[18-96]</t>
  </si>
  <si>
    <t>Song, J. H., Bin, S. I., Kim, J. M., Lee, B. S., &amp; Lee, C. R. (2020).</t>
  </si>
  <si>
    <t>To assess whether varus alignment of the knee is associated with improved graft survival and clinical outcomes following lateral meniscal allograft transplantation (MAT) compared to cases with normal alignment</t>
  </si>
  <si>
    <t>To describe the annual incidence, type, and severity of injuries and illnesses among Swedish Paralympic athletes</t>
  </si>
  <si>
    <t>To assess its risk factors</t>
  </si>
  <si>
    <t>Fagher, K., Dahlström, Ö., Jacobsson, J., Timpka, T., &amp; Lexell, J. (2020).</t>
  </si>
  <si>
    <t>Paralympic athletes</t>
  </si>
  <si>
    <t>[18-65]</t>
  </si>
  <si>
    <t>Summer &amp; Winter Sports</t>
  </si>
  <si>
    <t>Army Recruits</t>
  </si>
  <si>
    <t>Kaplan-Meier and Cox regression</t>
  </si>
  <si>
    <t>53.5</t>
  </si>
  <si>
    <t>To evaluate the prognostic factors (including a pathological postoperative JLO) related with the outcomes of opening wedge HTO at 10 years of follow-up</t>
  </si>
  <si>
    <t>Rosso, F., Rossi, R., Cantivalli, A., Pilone, C., &amp; Bonasia, D. E. (2022).</t>
  </si>
  <si>
    <t>Brock, T. M., Baker, P. N., Rushton, S., Bardgett, M., &amp; Deehan, D. (2017).</t>
  </si>
  <si>
    <t xml:space="preserve">To investigate the interplay between patient characteristics and length of hospital stay </t>
  </si>
  <si>
    <t>To investigate the interplay between one-year patient-reported outcome following total knee and hip arthroplasty</t>
  </si>
  <si>
    <t>[27-73.9]</t>
  </si>
  <si>
    <t>France</t>
  </si>
  <si>
    <t>Cazor, A., Schmidt, A., Shatrov, J., Alqahtani, T., Neyret, P., Sappey-Marinier, E., Batailler, C., Lustig, S., &amp; Servien, E. (2023).</t>
  </si>
  <si>
    <t>To evaluate the clinical outcomes and survivorship at minimum 10-year follow-up of patients undergoing primary valgisation high tibial osteotomy (HTO) for medial osteoarthritis (OA), treated by Opening-Wedge HTO (OW-HTO) or Closing-Wedge HTO (CW-HTO)</t>
  </si>
  <si>
    <t>EasyMedStat</t>
  </si>
  <si>
    <t>36.6</t>
  </si>
  <si>
    <t>Grassi, A., Macchiarola, L., Lucidi, G. A., Coco, V., Romandini, I., Filardo, G., Neri, M. P., Marcacci, M., &amp; Zaffagnini, S. (2020).</t>
  </si>
  <si>
    <t>To evaluate the long-term clinical outcomes, reoperations, and failures with a minimum follow-up of 10 years after fresh-frozen MAT performed arthroscopically with soft tissue fixation</t>
  </si>
  <si>
    <t>Ogura, T., Bryant, T., &amp; Minas, T. (2017).</t>
  </si>
  <si>
    <t>To evaluate long-term outcomes in adolescents after ACI using survival analyses, validated outcome questionnaires, and standard radiographs</t>
  </si>
  <si>
    <t>[15-58]</t>
  </si>
  <si>
    <t>Flinkkilä, T., Knape, R., Sirniö, K., Ohtonen, P., &amp; Leppilahti, J. (2018).</t>
  </si>
  <si>
    <t>To investigate the long-term results of arthroscopic Bankart repair in terms of rates and timelines of recurrence of instability, with special interest in young adult patients aged ≤20 years</t>
  </si>
  <si>
    <t>30.4</t>
  </si>
  <si>
    <t>Kim, J. M., Bin, S. I., Lee, B. S., Kim, N. K., Song, J. H., Choi, J. W., &amp; Lee, C. R. (2017).</t>
  </si>
  <si>
    <t>To investigate the long-term clinical results and clinical survival rate of meniscus allograft transplantation (MAT) with bone fixation</t>
  </si>
  <si>
    <t>ARTHROSCOPY-THE JOURNAL OF ARTHROSCOPIC AND RELATED SURGERY</t>
  </si>
  <si>
    <t>[55-65]</t>
  </si>
  <si>
    <t>Song, S. J., Bae, D. K., Kim, K. I., &amp; Park, C. H. (2019).</t>
  </si>
  <si>
    <t>To compare long-term clinical and radiographic results and survival rates between closed-wedge high tibial osteotomy (HTOs) and fixed-bearing unicompartmental knee arthroplasty (UKA) in patients with similar demographics</t>
  </si>
  <si>
    <t>Type of survival model/analysis</t>
  </si>
  <si>
    <t>[14-49]</t>
  </si>
  <si>
    <t>Mixed effect modelling</t>
  </si>
  <si>
    <t>Structural equation modelling</t>
  </si>
  <si>
    <t>Not sport</t>
  </si>
  <si>
    <t>To  evaluate the effects of articular cartilage damage, concurrent osteochondral autograft transfer (20 knees), patient age, and tibiofemoral compartment</t>
  </si>
  <si>
    <t>Noyes, F. R., &amp; Barber-Westin, S. D. (2016).</t>
  </si>
  <si>
    <t>Kaplan-meier</t>
  </si>
  <si>
    <t>Kaplan-Meier and Cox proportional hazard regression</t>
  </si>
  <si>
    <t>[17-22]</t>
  </si>
  <si>
    <t>Hearn, D. W., Kerr, Z. Y., Wikstrom, E. A., Goss, D. L., Cameron, K. L., Marshall, S. W., &amp; Padua, D. A. (2021).</t>
  </si>
  <si>
    <t>To report both the incidence and timing of lower extremity injuries during cadet basic training</t>
  </si>
  <si>
    <t>Cadets</t>
  </si>
  <si>
    <t>Cases</t>
  </si>
  <si>
    <t>Pediatric patients</t>
  </si>
  <si>
    <t>Older patients</t>
  </si>
  <si>
    <t>van Ooij, B., de Keijzer, D. R., Hoornenborg, D., Sierevelt, I. N., &amp; Haverkamp, D. (2022).</t>
  </si>
  <si>
    <t>Slotervaart Medical Centre</t>
  </si>
  <si>
    <t>To investigate the long-term survival of this design with a minimum of 15-year follow-up</t>
  </si>
  <si>
    <t>Cox Regression model and Accelerated Failure Time (AFT) model</t>
  </si>
  <si>
    <t>Total Army Injury and Health Outcomes Database</t>
  </si>
  <si>
    <t>Seay, J. F., Shing, T., Wilburn, K., Westrick, R., &amp; Kardouni, J. R. (2018).</t>
  </si>
  <si>
    <t>To examine acute LEI as a risk factor for developing LBP and examined the time to incident LBP between individuals with and without a history of LEI.</t>
  </si>
  <si>
    <t>[18-60]</t>
  </si>
  <si>
    <t>Denmark</t>
  </si>
  <si>
    <t>Brund, R. B. K., Rasmussen, S., Nielsen, R. O., Kersting, U. G., Laessoe, U., &amp; Voigt, M. (2017).</t>
  </si>
  <si>
    <t>To investigate if running distance until the first APM-injury was dependent on the foot balance during stance phase in recreational male runners</t>
  </si>
  <si>
    <t>Kaplan-Meier and Cox proportional hazard model</t>
  </si>
  <si>
    <t>Robb, C., Kempshall, P., Getgood, A., Standell, H., Sprowson, A., Thompson, P., &amp; Spalding, T. (2015).</t>
  </si>
  <si>
    <t>To evaluate the incidence of failure of anterior cruciate ligament (ACL) reconstruction</t>
  </si>
  <si>
    <t>To assess the prognostic factors for such an outcome</t>
  </si>
  <si>
    <t>Rahardja, R., Love, H., Clatworthy, M. G., &amp; Young, S. W. (2023).</t>
  </si>
  <si>
    <t>To identify the risk factors for meniscal repair failure following concurrent primary anterior cruciate ligament (ACL) reconstruction</t>
  </si>
  <si>
    <t>New Zealand ACL Registry and Accident Compensation Corporation</t>
  </si>
  <si>
    <t>Multivariate survival analysis using a Cox proportional hazards regression model</t>
  </si>
  <si>
    <t>[48-74]</t>
  </si>
  <si>
    <t>Kim, Y. S., Suh, D. S., Tak, D. H., Chung, P. K., &amp; Koh, Y. G. (2020).</t>
  </si>
  <si>
    <t>To evaluate the midterm outcomes, analyze the survival rates, and identify the factors affecting the survival rate of MSC implantation to treat knee OA.</t>
  </si>
  <si>
    <t>[34-88]</t>
  </si>
  <si>
    <t>Walker, T., Hariri, M., Eckert, J., Panzram, B., Reiner, T., Merle, C., Gotterbarm, T., &amp; Moradi, B. (2020).</t>
  </si>
  <si>
    <t>To assess clinical outcome as well as short-term survivorship of fixed-bearing lateral unicompartmental knee replacement (UKR) from a non-designer centre using the Oxford Fixed Lateral prosthesis</t>
  </si>
  <si>
    <t>[25-60]</t>
  </si>
  <si>
    <t>Streit, M. R., Streit, J., Walker, T., Bruckner, T., Philippe Kretzer, J., Ewerbeck, V., Merle, C., Aldinger, P. R., &amp; Gotterbarm, T. (2017).</t>
  </si>
  <si>
    <t>To address the issue of advanced knee arthritis in young patients through exploring the efficacy and expanding indications of mobile-bearing unicompartmental knee arthroplasty (UKA) as a surgical treatment option</t>
  </si>
  <si>
    <t>Staats, K., Wannmacher, T., Weihs, V., Koller, U., Kubista, B., &amp; Windhager, R. (2019).</t>
  </si>
  <si>
    <t>To evaluate the radiographic outcome and short-term survival of a modern cemented primary TKA system compared to its predecessor</t>
  </si>
  <si>
    <t>Austria</t>
  </si>
  <si>
    <t>[12-19]</t>
  </si>
  <si>
    <t>Individual Sports</t>
  </si>
  <si>
    <t>Cox proportional hazards regression</t>
  </si>
  <si>
    <t>Training and Injury Prevention Platform for Sports (TIPPS)</t>
  </si>
  <si>
    <t>Young high-level athletes</t>
  </si>
  <si>
    <t>Malisoux, L., Frisch, A., Urhausen, A., Seil, R., &amp; Theisen, D. (2013).</t>
  </si>
  <si>
    <t>To compare sport participation characteristics in different youth sport categories</t>
  </si>
  <si>
    <t>To investigate their relationship with injury</t>
  </si>
  <si>
    <t>To analyze the longevity of both professionals, comparing them with soccer players and with general population</t>
  </si>
  <si>
    <t>Professional</t>
  </si>
  <si>
    <t>[15-19]</t>
  </si>
  <si>
    <t>von Rosen, P., Frohm, A., Kottorp, A., Fridén, C., &amp; Heijne, A. (2017).</t>
  </si>
  <si>
    <t>Cross-country skiing</t>
  </si>
  <si>
    <t>Adolescent elite athletes</t>
  </si>
  <si>
    <t>Karolinska Athlete Screening Injury Prevention (KASIP project )</t>
  </si>
  <si>
    <t>Kaplan-Meier and Generalized linear models</t>
  </si>
  <si>
    <t>NFL Injury Surveillance System</t>
  </si>
  <si>
    <t>Yang, J., Hodax, J. D., Machan, J. T., Secrist, E. S., Durand, W. M., Owens, B. D., Eltorai, A. E. M., &amp; Dodson, C. C. (2017).</t>
  </si>
  <si>
    <t>To identify risk factors for injury in adolescent elite athletes, by applying a biopsychosocial approach</t>
  </si>
  <si>
    <t>To test for differences in RTP rates and changes in performance after an ACL injury by position and draft round</t>
  </si>
  <si>
    <t>INTERNATIONAL JOURNAL OF SPORTS MEDICINE</t>
  </si>
  <si>
    <t>Schotanus, M. G. M., Boonen, B., van der Weegen, W., Hoekstra, H., van Drumpt, R., Borghans, R., Vos, R., van Rhijn, L., &amp; Kort, N. P. (2019).</t>
  </si>
  <si>
    <t>To compare the survival rate and clinical outcome in total knee arthroplasty (TKA) after MRI-based patient-specific instruments (PSI) and conventional instruments 5 years after initial surgery</t>
  </si>
  <si>
    <t>71.8</t>
  </si>
  <si>
    <t>Generalised linear mixed model (GLMM)</t>
  </si>
  <si>
    <t>68.6</t>
  </si>
  <si>
    <t>Quispel, C. R., van Egmond, J. C., Bruin, M. M., Spekenbrink-Spooren, A., Verburg, H., &amp; Pasma, J. H. (2022).</t>
  </si>
  <si>
    <t>To determine the effect of fixation on early and late mortality after primary TKA</t>
  </si>
  <si>
    <t>Dutch Arthroplasty Register (LROI)</t>
  </si>
  <si>
    <t>Kaplan-Meier and Cox survival analysis</t>
  </si>
  <si>
    <t>Major League Baseball (MLB) Health and Injury Tracking System</t>
  </si>
  <si>
    <t>Chauhan, A., McQueen, P., Chalmers, P. N., Ciccotti, M. G., Camp, C. L., D'Angelo, J., Potter, H. G., Fealy, S. A., Erickson, B. J., Hoenecke, H. R., Keefe, D., McCauley, J., &amp; Fronek, J. (2019).</t>
  </si>
  <si>
    <t>To perform a comparative studie on professional baseball players who have undergone nonoperative treatment with or without PRP injections for UCL injuries</t>
  </si>
  <si>
    <t>Bonacci, J., Manson, B., Bowe, S. J., Gill, S., Seward, H., Hoy, G., &amp; Page, R. (2018).</t>
  </si>
  <si>
    <t>To review the surgical management procedures of shoulder instability injuries in Australian Football League (AFL) players</t>
  </si>
  <si>
    <t>To determine outcomes regarding return to sport and injury recurrence</t>
  </si>
  <si>
    <t>21.9</t>
  </si>
  <si>
    <t>Kaplan–Meier and logistic regression model</t>
  </si>
  <si>
    <t>Kaplan–Meier and log-rank test</t>
  </si>
  <si>
    <t>Australian Football League (AFL) injury surveillance report</t>
  </si>
  <si>
    <t>The National Registry for AED Use in Sports (AEDSPORTS)</t>
  </si>
  <si>
    <t>To prospectively investigate a large cohort of U.S. high schools to determine and quantify the impact of school-based AED programs on survival from SCA.</t>
  </si>
  <si>
    <t>61.8</t>
  </si>
  <si>
    <t>Kaplan-Meier and Cox univariate and multivariate</t>
  </si>
  <si>
    <t>Montserrat, F., Alentorn-Geli, E., León, V., Ginés-Cespedosa, A., &amp; Rigol, P. (2014).</t>
  </si>
  <si>
    <t>To report the survival analysis of partial lateral facetectomy and Insall's procedure in patients with isolated patellofemoral osteoarthritis</t>
  </si>
  <si>
    <t>To assess the risk and protective factors for failure of this procedure</t>
  </si>
  <si>
    <t>[43-78]</t>
  </si>
  <si>
    <t>Cox proportional hazards regression, Kaplan-Meier and log-rank test</t>
  </si>
  <si>
    <t>Lee, B. S., Bin, S. I., Kim, J. M., Park, M. H., Lee, S. M., &amp; Bae, K. H. (2019).</t>
  </si>
  <si>
    <t>To identify the risk factors associated with end-stage osteoarthritis after arthroscopic meniscectomy for degenerative MMPRT for middle-aged or elderly patients</t>
  </si>
  <si>
    <t>To determine the joint survivorship according to the identified risk factors</t>
  </si>
  <si>
    <t>JOURNAL OF SHOULDER AND ELBOW SURGERY</t>
  </si>
  <si>
    <t>Sheth, M. M., Heldt, B. L., Spell, J. H., Vidal, E. A., Laughlin, M. S., Morris, B. J., Elkousy, H. A., &amp; Edwards, T. B. (2022).</t>
  </si>
  <si>
    <t>To report patient-reported outcomes, satisfaction, complications, revisions, and prosthesis survivorship of RSA performed by a single, high-volume shoulder arthroplasty surgeon at a minimum of 10 years using a Grammont design prosthesis</t>
  </si>
  <si>
    <t>[20-75]</t>
  </si>
  <si>
    <t>Shankar, D. S., Rao, N., Colasanti, C. A., Lan, R., Essilfie, A. A., &amp; Youm, T. (2023).</t>
  </si>
  <si>
    <t>To assess the impact of age on time to achieving the Minimum Clinically Important Difference (MCID), Substantial Clinical Benefit (SCB), and Patient Acceptable Symptom State (PASS) following primary hip arthroscopy for FAIS</t>
  </si>
  <si>
    <t>Cox proportional hazards modeling y Fine-Gray model</t>
  </si>
  <si>
    <t>Cox proportional hazards modeling</t>
  </si>
  <si>
    <t>[12.8-81.3]</t>
  </si>
  <si>
    <t>Domb, B. G., Ouyang, V. W., Go, C. C., Gornbein, J. A., Shapira, J., Meghpara, M. B., Maldonado, D. R., Lall, A. C., &amp; Rosinsky, P. J. (2022).</t>
  </si>
  <si>
    <t>To establish a method for predictive modeling to enable individualized prognostication and shared decision making based on preoperative patient factors using data from a prospective hip preservation registry</t>
  </si>
  <si>
    <t>Toanen, C., Dhollander, A., Bulgheroni, P., Filardo, G., Zaffagnini, S., Spalding, T., Monllau, J. C., Gelber, P., Verdonk, R., Beaufils, P., Pujol, N., Bulgheroni, E., Asplin, L., &amp; Verdonk, P. (2020).</t>
  </si>
  <si>
    <t>To present the findings and outcomes of a study that investigated the use of a biodegradable polyurethane scaffold for treating patients with painful partial meniscal defects</t>
  </si>
  <si>
    <t>Multivariable logistic regression</t>
  </si>
  <si>
    <t>Multivariable logistic regression and Cox proportional regression model</t>
  </si>
  <si>
    <t>Vasavada, K., Shankar, D. S., Avila, A., Lin, C. C., Marulanda, D., Jazrawi, L. M., &amp; Samuels, J. (2023).</t>
  </si>
  <si>
    <t>To determine the rate and characteristics of postoperative flares in rheumatic disease patients undergoing arthroscopic surgery, and the role of perioperative immunosuppression (IS) management in preventing or provoking these exacerbations</t>
  </si>
  <si>
    <t>To produce machine learning survival models that can identify patients at risk of symptomatic PTOA and patients who are at risk of undergoing total knee arthroplasty (TKA) after ACLR</t>
  </si>
  <si>
    <t>Random survival forest</t>
  </si>
  <si>
    <t>Random survival forest and Kaplan-Meier</t>
  </si>
  <si>
    <t>Lu, Y., Reinholz, A. K., Till, S. E., Kalina, S. V., Saris, D. B. F., Camp, C. L., &amp; Stuart, M. J. (2023).</t>
  </si>
  <si>
    <t>Volleyball</t>
  </si>
  <si>
    <t>Elite youth basketball and volleyball players</t>
  </si>
  <si>
    <t>To investigate the effects of an intervention with tailored exercises on the incidence of patellar tendinopathy (PT) in elite youth jumping athletes</t>
  </si>
  <si>
    <t>Bittencourt, N. F. N., Oliveira, R. R., Vaz, R. P. M., Silva, R. S., &amp; Mendonça, L. M. (2022).</t>
  </si>
  <si>
    <t>14.4</t>
  </si>
  <si>
    <t>&lt;=19</t>
  </si>
  <si>
    <t>Multivariable suvival analysis</t>
  </si>
  <si>
    <t>Maldonado, D. R., Kufta, A. Y., Krych, A. J., Levy, B. A., Okoroha, K. R., Gonzalez-Carta, K., &amp; Domb, B. G. (2023).</t>
  </si>
  <si>
    <t>To report minimum 2-year follow-up patient-reported outcome scores (PROs) and rates of achieving the minimal clinically important difference (MCID), the patient-acceptable symptomatic state (PASS), and the maximal outcome improvement (MOI) on adolescents following primary hip arthroscopy for femoroacetabular impingement syndrome (FAIS)</t>
  </si>
  <si>
    <t>To determine risk factors for revision surgery</t>
  </si>
  <si>
    <t>To investigate the association between load capacity defined as running experience and running pace, and RRI when following a specific half-marathon running schedule</t>
  </si>
  <si>
    <t>Damsted, C., Parner, E. T., Sørensen, H., Malisoux, L., &amp; Nielsen, R. O. (2019).</t>
  </si>
  <si>
    <t>Runners</t>
  </si>
  <si>
    <t>Generalized linear regression model</t>
  </si>
  <si>
    <t>29.1</t>
  </si>
  <si>
    <t>To identify the rate of revision and surgeon-reported graft rupture</t>
  </si>
  <si>
    <t>To clarify the patient risk factors for failure</t>
  </si>
  <si>
    <t>NCAA athletes</t>
  </si>
  <si>
    <t>Non-contact sports</t>
  </si>
  <si>
    <t>19.3</t>
  </si>
  <si>
    <t>Spanish League Registers</t>
  </si>
  <si>
    <t>Morris, A., Fino, N. F., Pelo, R., Cushman, D. M., Monson, N. E., Jameson, T., Dibble, L. E., &amp; Fino, P. C. (2023).</t>
  </si>
  <si>
    <t>To examine if objective assessments of reactive postural responses, quantified using wearable inertial measurement units, are associated with the risk for acute lower extremity musculoskeletal injuries in collegiate athletes</t>
  </si>
  <si>
    <t>Cox proportional hazards models</t>
  </si>
  <si>
    <t>Soft Tissue Injury Registry of the Australian Football League</t>
  </si>
  <si>
    <t>Green, B., Lin, M., McClelland, J. A., Semciw, A. I., Schache, A. G., Rotstein, A. H., Cook, J., &amp; Pizzari, T. (2020).</t>
  </si>
  <si>
    <t>To determine whether clinical and magnetic resonance imaging (MRI) data are associated with RTP and recurrence after CMSI</t>
  </si>
  <si>
    <t>[18-37]</t>
  </si>
  <si>
    <t>Transfermarkt and WhoScored</t>
  </si>
  <si>
    <t>Log-rank test</t>
  </si>
  <si>
    <t>Football players</t>
  </si>
  <si>
    <t>Niederer, D., Engeroff, T., Wilke, J., Vogt, L., &amp; Banzer, W. (2018).</t>
  </si>
  <si>
    <t>To conduct a comprehensive analysis of the return to play (RTP) rates, performance, and career duration of male football (soccer) players who experienced an anterior cruciate ligament (ACL) rupture</t>
  </si>
  <si>
    <t>High school athletes</t>
  </si>
  <si>
    <t>Medina McKeon, J. M., Bush, H. M., Reed, A., Whittington, A., Uhl, T. L., &amp; McKeon, P. O. (2014).</t>
  </si>
  <si>
    <t>[14-18]</t>
  </si>
  <si>
    <t>To compare time to return-to-play probability timelines for new and recurrent ankle sprains in interscholastic athletes</t>
  </si>
  <si>
    <t>Tejwani, S. G., Chen, J., Funahashi, T. T., Love, R., &amp; Maletis, G. B. (2015).</t>
  </si>
  <si>
    <t>To examine the association of graft processing techniques, patient characteristics, and graft type with risk of revision surgery after allograft ACLR</t>
  </si>
  <si>
    <t>[24.1-42.9]</t>
  </si>
  <si>
    <t>JOURNAL OF STRENGTH AND CONDITIONING RESEARCH</t>
  </si>
  <si>
    <t>[19-23]</t>
  </si>
  <si>
    <t>Japanese american football players</t>
  </si>
  <si>
    <t>Iguchi, J., Watanabe, Y., Kimura, M., Fujisawa, Y., Hojo, T., Yuasa, Y., Higashi, S., &amp; Kuzuhara, K. (2016).</t>
  </si>
  <si>
    <t>To identify how risk factors for injury during American football are related to players' physical strength as determined using typical performance tests</t>
  </si>
  <si>
    <t>Multivariate Cox Regression</t>
  </si>
  <si>
    <t>Chung, K. S., Ha, J. K., Ra, H. J., Yu, W. J., &amp; Kim, J. G. (2020).</t>
  </si>
  <si>
    <t>The compare the long-term outcomes between meniscectomy and repair in medial meniscus posterior root tears (MMPRTs)</t>
  </si>
  <si>
    <t>Ahmad, S. S., Schürholz, K., Liechti, E. F., Hirschmann, M. T., Kohl, S., &amp; Klenke, F. M. (2020).</t>
  </si>
  <si>
    <t>To determine the survival of the primarily repaired ACL after dynamic intraligamentary stabilization</t>
  </si>
  <si>
    <t>To determine if shoe cushioning influences the injury risk in recreational runners and whether the association depends on the runner's body mass</t>
  </si>
  <si>
    <t>Malisoux, L., Delattre, N., Urhausen, A., &amp; Theisen, D. (2020).</t>
  </si>
  <si>
    <t>NCT03115437 (ClinicalTrials.gov identifier)</t>
  </si>
  <si>
    <t>Merkely, G., Ackermann, J., Farina, E. M., VanArsdale, C., Lattermann, C., &amp; Gomoll, A. H. (2020).</t>
  </si>
  <si>
    <t>Kaplan-Meier and Multivariable Cox Regression</t>
  </si>
  <si>
    <t>To investigate the optimal timing for osteochondral allograft (OCA) transplantation in the context of current regulations in the United States</t>
  </si>
  <si>
    <t>Cox proportional hazard models</t>
  </si>
  <si>
    <t>Australian Football League (AFL) injury survey</t>
  </si>
  <si>
    <t>Fortington, L. V., Berry, J., Buttifant, D., Ullah, S., Diamantopoulou, K., &amp; Finch, C. F. (2016).</t>
  </si>
  <si>
    <t>To conduct the first comparison of injury risk and playing experience in these two player groups across a large number of AFL clubs</t>
  </si>
  <si>
    <t>NFL.com</t>
  </si>
  <si>
    <t>Navarro, S. M., Sokunbi, O. F., Haeberle, H. S., Schickendantz, M. S., Mont, M. A., Figler, R. A., &amp; Ramkumar, P. N. (2017).</t>
  </si>
  <si>
    <t>To compare the short-term career outcomes for NFL players with concussions by analyzing the effect of concussions on franchise release rate, career length, salary, and performance</t>
  </si>
  <si>
    <t>Athletes</t>
  </si>
  <si>
    <t>[40-80]</t>
  </si>
  <si>
    <t>Maritan, G., Franceschi, G., Nardacchione, R., Furlan, E., Mariani, I., Ursino, N., &amp; D'Ambrosi, R. (2023).</t>
  </si>
  <si>
    <t>To analyse the survivorship and functional outcomes of two samples with similar preoperative clinical and demographic data of lateral unicompartmental knee arthroplasty (UKA) performed with robotic and conventional surgery at a minimum 5-year follow-up</t>
  </si>
  <si>
    <t>[10-15]</t>
  </si>
  <si>
    <t>Swimming</t>
  </si>
  <si>
    <t>Moulds, K., Abbott, S., Pion, J., Brophy-Williams, C., Heathcote, M., &amp; Cobley, S. (2020).</t>
  </si>
  <si>
    <t>To examine long-term participation and dropout rates in Australian youth swimming using survival analyses and to determine whether multiple individual, socio-demographic, and competition-related factors influenced dropout</t>
  </si>
  <si>
    <t>Ten Broeke, P., van Bakel, B. M. A., Bakker, E. A., Beckers, D. G. J., Geurts, S. A. E., Thijssen, D. H. J., Eijsvogels, T. M. H., &amp; Bijleveld, E. (2022).</t>
  </si>
  <si>
    <t>To identify how and when to intervene in cardiovascular disease (CVD) patients' sedentary behavior, we moved beyond studying total volume of sitting and examined sitting patterns</t>
  </si>
  <si>
    <t>Porteous, A. J., Smith, J. R. A., Bray, R., Robinson, J. R., White, P., &amp; Murray, J. R. D. (2022).</t>
  </si>
  <si>
    <t>To report the functional outcome and survivorship of a large series of fixed bearing, medial unicompartmental replacements (St Georg Sled), with a minimum of 20 years follow-up</t>
  </si>
  <si>
    <t>[10-59]</t>
  </si>
  <si>
    <t>PearlDiver Mariner database</t>
  </si>
  <si>
    <t>Kaplan-Meier and Mantel-Cox log-rank test</t>
  </si>
  <si>
    <t>PearlDiver software</t>
  </si>
  <si>
    <t>Burroughs, P. J., Kahan, J. B., Moran, J., Gillinov, S. M., Joo, P. Y., Schneble, C. A., Moore, H. G., Grauer, J. N., &amp; Medvecky, M. J. (2022).</t>
  </si>
  <si>
    <t>To analyze the frequency of subsequent surgeries in patients who underwent OCA versus OAT</t>
  </si>
  <si>
    <t>Heesterbeek, P. J. C., van Houten, A. H., Klenk, J. S., Eijer, H., Christen, B., Wymenga, A. B., &amp; Schuster, A. J. (2018).</t>
  </si>
  <si>
    <t>To investigate the 12-year results of primary TKA using a balancing gap technique and compared survival and clinical outcome between fixed and mobile inserts</t>
  </si>
  <si>
    <t>[54.5-97.3]</t>
  </si>
  <si>
    <t>Switzerland</t>
  </si>
  <si>
    <t>Ogura, T., Bryant, T., Merkely, G., Mosier, B. A., &amp; Minas, T. (2019).</t>
  </si>
  <si>
    <t>To evaluate clinical outcomes in patients who underwent revision ACI of the knee for failure of an initial ACI</t>
  </si>
  <si>
    <t>To determine the factors affecting the survival rate</t>
  </si>
  <si>
    <t>McCormick, F., Harris, J. D., Abrams, G. D., Hussey, K. E., Wilson, H., Frank, R., Gupta, A. K., Bach, B. R., Jr, &amp; Cole, B. J. (2014).</t>
  </si>
  <si>
    <t>To quantify survival for MAT and report findings at reoperation</t>
  </si>
  <si>
    <t>Kaplan-Meier and log-rank test</t>
  </si>
  <si>
    <t>Lee, B. S., Bin, S. I., Kim, J. M., Kim, W. K., &amp; Choi, J. W. (2017).</t>
  </si>
  <si>
    <t>To estimate of graft survival according to the articular cartilage status have not been performed</t>
  </si>
  <si>
    <t>Zaffagnini, S., Grassi, A., Marcheggiani Muccioli, G. M., Benzi, A., Serra, M., Rotini, M., Bragonzoni, L., &amp; Marcacci, M. (2016).</t>
  </si>
  <si>
    <t>To present the results of a survival analysis of a series of 147 arthroscopic MAT procedures</t>
  </si>
  <si>
    <t>Rahardja, R., Love, H., Clatworthy, M. G., Monk, A. P., &amp; Young, S. W. (2022).</t>
  </si>
  <si>
    <t>To investigate the association between the type of tibial fixation device and the risk of revision ACLR</t>
  </si>
  <si>
    <t>Gymnasts</t>
  </si>
  <si>
    <t>Gymnastics</t>
  </si>
  <si>
    <t>Kaplan-Meier and Cox Proportional hazards</t>
  </si>
  <si>
    <t>[6-9]</t>
  </si>
  <si>
    <t>Pion, J., Lenoir, M., Vandorpe, B., &amp; Segers, V. (2015).</t>
  </si>
  <si>
    <t>Belgium</t>
  </si>
  <si>
    <t>To investigate the link between the anthropometric, physical and motor characteristics assessed during talent identification and dropout in young female gymnasts</t>
  </si>
  <si>
    <t>Damsted, C., Parner, E. T., Sørensen, H., Malisoux, L., Hulme, A., &amp; Nielsen, R. Ø. (2019).</t>
  </si>
  <si>
    <t>To investigate the association between change in weekly running distance and RRI</t>
  </si>
  <si>
    <t>To examine whether the association may be modified by the running schedule the runner follows</t>
  </si>
  <si>
    <t>Bennett, H., Chalmers, S., Milanese, S., &amp; Fuller, J. (2022).</t>
  </si>
  <si>
    <t>To identify how modified Lower-Quarter Y-Balance Test (mYBT-LQ) and Upper-Quarter Balance Test (mYBT-UQ) scores relate to injury risk and measures of physical performance in elite adolescent Australian Football (AF) athletes</t>
  </si>
  <si>
    <t>[6-12]</t>
  </si>
  <si>
    <t>PM &amp; R: THE JOURNAL OF INJURY, FUNCTION AND REHABILITATION</t>
  </si>
  <si>
    <t>Risen, S. R., Reesman, J., Yenokyan, G., Slomine, B. S., &amp; Suskauer, S. J. (2017).</t>
  </si>
  <si>
    <t>To describe patient variables, clinical course, and factors associated with time to discharge from concussion care in children 6-12 years of age with concussion treated in an interdisciplinary rehabilitation-based concussion clinic</t>
  </si>
  <si>
    <t>[39-53]</t>
  </si>
  <si>
    <t>Khoshbin, A., Sheth, U., Ogilvie-Harris, D., Mahomed, N., Jenkinson, R., Gandhi, R., &amp; Wasserstein, D. (2017).</t>
  </si>
  <si>
    <t>To identify the survivorship of high tibial osteotomy (HTO) to total knee arthroplasty (TKA) on a population level, and identify the patient, provider and surgical factors that influenced eventual TKA</t>
  </si>
  <si>
    <t>Bennett, H., Chalmers, S., &amp; Fuller, J. (2023).</t>
  </si>
  <si>
    <t>To determine whether subsequent injury risk was greater after concussion compared to non-concussion index injury using multilevel survival analysis</t>
  </si>
  <si>
    <t>[17.2]</t>
  </si>
  <si>
    <t>Davis, B. R., Chen, J., Inacio, M. C. S., Love, R., Prentice, H. A., &amp; Maletis, G. B. (2017).</t>
  </si>
  <si>
    <t>To evaluate whether there was a different likelihood of subsequent meniscal surgery in the ACL-reconstructed knee or in the normal contralateral knee</t>
  </si>
  <si>
    <t>To compare the risk factors associated with subsequent meniscal surgery in the ACL-reconstructed knee and contralateral knee</t>
  </si>
  <si>
    <t>Youth basketball players</t>
  </si>
  <si>
    <t>Official FIBA archive</t>
  </si>
  <si>
    <t>JOURNAL OF SPORTS SCIENCES</t>
  </si>
  <si>
    <t>Kalén, A., Lundkvist, E., Ivarsson, A., Rey, E., &amp; Pérez-Ferreirós, A. (2021).</t>
  </si>
  <si>
    <t>To analyse the re-selection patterns in European youth basketball national teams</t>
  </si>
  <si>
    <t>To investigate how the chance of re-selection is influenced by the initial selection age and relative age of the players, as well as the long-term performance of the country at the youth level</t>
  </si>
  <si>
    <t>Bayesian</t>
  </si>
  <si>
    <t>Bayesian multilevel logistic regression</t>
  </si>
  <si>
    <t>D'Alonzo, B. A., Bretzin, A. C., Wiebe, D. J., &amp; Ivy League–Big Ten Epidemiology of Concussion Study Investigators (2022).</t>
  </si>
  <si>
    <t>To examine the relationship between affective symptom reporting and RTP progression after SRC among a cohort of Division 1 student-athletes</t>
  </si>
  <si>
    <t>Cox Regression and Kaplan-Meier curves</t>
  </si>
  <si>
    <t>van Stralen, R. A., Anderson, P. G., &amp; Wymenga, A. B. (2014).</t>
  </si>
  <si>
    <t>To determine the clinical and radiological results and the survival of the prosthesis</t>
  </si>
  <si>
    <t>Barbadoro, P., Ensini, A., Leardini, A., d'Amato, M., Feliciangeli, A., Timoncini, A., Amadei, F., Belvedere, C., &amp; Giannini, S. (2014).</t>
  </si>
  <si>
    <t>To study if tibial component malalignment is correlated with its risk of loosening in UKA</t>
  </si>
  <si>
    <t>High-school student athletes</t>
  </si>
  <si>
    <t>Covassin, T., Bretzin, A. C., Beidler, E., &amp; Wallace, J. (2021).</t>
  </si>
  <si>
    <t>To describe the time to authorized unrestricted return to participation (RTP) after SRC in a large cohort of high school student-athletes in a variety of sports using a time-to-event analysis</t>
  </si>
  <si>
    <t>Michigan High School Athletic Association Head Injury Reporting System</t>
  </si>
  <si>
    <t>35.04</t>
  </si>
  <si>
    <t>Mills, K., Collins, N. J., &amp; Vicenzino, B. (2023).</t>
  </si>
  <si>
    <t>To investigate the probability of runners successfully transitioning from running in a traditional shoe to barefoot</t>
  </si>
  <si>
    <t>To identify prognostic indicators of failure of transition to barefoot running</t>
  </si>
  <si>
    <t>Dhollander, A., Verdonk, P., &amp; Verdonk, R. (2016).</t>
  </si>
  <si>
    <t>To study if acellular polyurethane scaffold for new tissue generation in irreparable, partial meniscal defects provides both midterm pain relief and improved functionality</t>
  </si>
  <si>
    <t>McKeon, J. M., Livingston, S. C., Reed, A., Hosey, R. G., Black, W. S., &amp; Bush, H. M. (2013).</t>
  </si>
  <si>
    <t>Central Kentucky Injury Surveillance System</t>
  </si>
  <si>
    <t>To develop probability estimates for time until RTP after sport-related concussion</t>
  </si>
  <si>
    <t>To investigate the long-term outcome of the unicompartmental knee resurfacing prosthesis (UniCAP) using clinical and radiographic assessments</t>
  </si>
  <si>
    <t>To evaluate the revision and survival rates</t>
  </si>
  <si>
    <t>Laursen, J. O., Mogensen, C. B., &amp; Skjøt-Arkil, H. (2019).</t>
  </si>
  <si>
    <t>[35-65]</t>
  </si>
  <si>
    <t>Beischer, S., Gustavsson, L., Senorski, E. H., Karlsson, J., Thomeé, C., Samuelsson, K., &amp; Thomeé, R. (2020).</t>
  </si>
  <si>
    <t>Cox proportional hazard regression</t>
  </si>
  <si>
    <t>Project ACL</t>
  </si>
  <si>
    <t>Hashimoto, S., Terauchi, M., Hatayama, K., Saito, K., &amp; Chikuda, H. (2019).</t>
  </si>
  <si>
    <t>To review the clinical course of contralateral knees in patients who underwent unilateral TKA (UTKA) to determine which patients are candidates for simultaneous bilateral TKA (BTKA)</t>
  </si>
  <si>
    <t>73.2</t>
  </si>
  <si>
    <t>&gt;=20</t>
  </si>
  <si>
    <t>15.1</t>
  </si>
  <si>
    <t>29.6</t>
  </si>
  <si>
    <t>Canada</t>
  </si>
  <si>
    <t>Minitab</t>
  </si>
  <si>
    <t>Rochester Epidemiology Project (REP)</t>
  </si>
  <si>
    <t>34.96</t>
  </si>
  <si>
    <t>Mixed linear regression models and Cox proportional hazards model.</t>
  </si>
  <si>
    <t>[13-59]</t>
  </si>
  <si>
    <t>[18-55]</t>
  </si>
  <si>
    <t>Clinstat</t>
  </si>
  <si>
    <t>Kaplan-Meier with log-rank and cox regression analysis</t>
  </si>
  <si>
    <t>[17-55]</t>
  </si>
  <si>
    <t>[13-17]</t>
  </si>
  <si>
    <t>Football coaches, referees and players</t>
  </si>
  <si>
    <t>[13-80]</t>
  </si>
  <si>
    <t>Univariate logistic regression</t>
  </si>
  <si>
    <t>Rochester Epidemiology Database</t>
  </si>
  <si>
    <t>Kaiser Permanente ACL Reconstruction Registry (KPACLRR)</t>
  </si>
  <si>
    <t>Cox proportional hazard models and Kaplan-Meier curves</t>
  </si>
  <si>
    <t>Luxembourg</t>
  </si>
  <si>
    <t>40.5</t>
  </si>
  <si>
    <t>[15-56]</t>
  </si>
  <si>
    <t>[19-60]</t>
  </si>
  <si>
    <t>[16-56]</t>
  </si>
  <si>
    <t>Korea</t>
  </si>
  <si>
    <t>37.5</t>
  </si>
  <si>
    <t>[18.02-36.17]</t>
  </si>
  <si>
    <t>[16-50]</t>
  </si>
  <si>
    <t>SAS and R</t>
  </si>
  <si>
    <t>SPSS and STATA</t>
  </si>
  <si>
    <t>STATA and Excel</t>
  </si>
  <si>
    <t>MedCalc and Excel</t>
  </si>
  <si>
    <t>SPSS and Graphpad Prism</t>
  </si>
  <si>
    <t>SPSS and Excel</t>
  </si>
  <si>
    <t>SPSS and R</t>
  </si>
  <si>
    <t>Excel and SPSS</t>
  </si>
  <si>
    <t>SPSS and MATLAB</t>
  </si>
  <si>
    <t>R and STAN</t>
  </si>
  <si>
    <t>China</t>
  </si>
  <si>
    <t>Canada, Denmark and Finland</t>
  </si>
  <si>
    <t>Finland</t>
  </si>
  <si>
    <t>Cox</t>
  </si>
  <si>
    <t>Derecha</t>
  </si>
  <si>
    <t>Truncament</t>
  </si>
  <si>
    <t>Random effects</t>
  </si>
  <si>
    <t>Time dependent</t>
  </si>
  <si>
    <t>Nº participants en risk</t>
  </si>
  <si>
    <t xml:space="preserve">Plot cumulative </t>
  </si>
  <si>
    <t>Data sharing</t>
  </si>
  <si>
    <t>Code sharing</t>
  </si>
  <si>
    <t>Macro/package</t>
  </si>
  <si>
    <t>Competing-risks</t>
  </si>
  <si>
    <t>Fine and Gray</t>
  </si>
  <si>
    <t>Harrington–Fleming</t>
  </si>
  <si>
    <t>Log-rank</t>
  </si>
  <si>
    <t>Wilcoxon</t>
  </si>
  <si>
    <t>Survival analysis (no especifiquen)</t>
  </si>
  <si>
    <t>Conditional logistic regression</t>
  </si>
  <si>
    <t>SPSS and SigmaPlot</t>
  </si>
  <si>
    <t>Interval</t>
  </si>
  <si>
    <t>Fine-Gray model</t>
  </si>
  <si>
    <t>SAS and MATLAB</t>
  </si>
  <si>
    <t>SPSS and PASS13</t>
  </si>
  <si>
    <t>Competing-risks regression models</t>
  </si>
  <si>
    <t>Mixed-effects logistic regression</t>
  </si>
  <si>
    <t>R and Excel</t>
  </si>
  <si>
    <t>Basketball and Volleyball</t>
  </si>
  <si>
    <t>American football, Football, Cross country, Golf, Volleyball, Cheerleading, Basketball, Swimming, Diving, Wrestling, Track &amp; Field, Baseball, Softball and Tennis</t>
  </si>
  <si>
    <t>American football, Football, Basketball, Lacrosse and Wrestling</t>
  </si>
  <si>
    <t>American football, Football, Basketball, Baseball, Track &amp; Field, Cheerleading, Softball, Volleyball and Wrestling</t>
  </si>
  <si>
    <t>Football, Basketball, Baseball, Hurdling, Orienteering, Snowboarding, Badminton, High jump, Tennis, Downhill skiing, Volleyball, Handball, Floorball, Long jump, Ice hockey, Mogul skiing, American football, Wrestling and Figure skating</t>
  </si>
  <si>
    <t>American football, Basketball, Baseball, Softball, Football, Gymnastics, Hockey, Lacrosse, Swimming, Tennis, Track &amp; Field, Volleyball and Wrestling</t>
  </si>
  <si>
    <t>Athletics, Cross country skiing, Orienteering, Ski-orienteering, Handball, Downhill skiing, Freestyle skiing, Water skiing, Canoe, Rowing, Wrestling, Bowling, Triathlon, Golf, Cycling and American football</t>
  </si>
  <si>
    <t>Team sports, Racket sports and Individual sports</t>
  </si>
  <si>
    <t>Team sports, Summer sports and Winter sports</t>
  </si>
  <si>
    <t>Power sports, Endurance sports and Team sports</t>
  </si>
  <si>
    <t>Football, Basketball, American football, Softball, Baseball, Lacrosse, Volleyball, Gymnastics, Dance, Rugby and Fighting</t>
  </si>
  <si>
    <t>Military training</t>
  </si>
  <si>
    <t>Contact sports and Non-contact sports</t>
  </si>
  <si>
    <t>Female</t>
  </si>
  <si>
    <t>Statistical methods rates</t>
  </si>
  <si>
    <t>id</t>
  </si>
  <si>
    <t>NA</t>
  </si>
  <si>
    <t>Statistical methods compare curves</t>
  </si>
  <si>
    <t>Prentice_wilcoxon</t>
  </si>
  <si>
    <t>Tarone_test</t>
  </si>
  <si>
    <t>Cox Random effects</t>
  </si>
  <si>
    <t>Prametric model</t>
  </si>
  <si>
    <t>Aalen-Johansen</t>
  </si>
  <si>
    <t>Any method</t>
  </si>
  <si>
    <t>MSM</t>
  </si>
  <si>
    <t>GLM pseudo-obs</t>
  </si>
  <si>
    <t>Logistic regression or rates</t>
  </si>
  <si>
    <t>Censoring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</si>
</sst>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Fill="1"/>
    <xf numFmtId="0" fontId="1" fillId="0" borderId="0" xfId="0" applyFont="1" applyFill="1"/>
    <xf numFmtId="49" fontId="0" fillId="0" borderId="0" xfId="0" applyNumberFormat="1" applyFill="1"/>
  </cellXfs>
  <cellStyles count="1">
    <cellStyle name="Normal" xfId="0" builtinId="0"/>
  </cellStyles>
  <dxfs count="12">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0B9A0-3402-48C2-AB95-246022EE52A7}">
  <dimension ref="A1:BK139"/>
  <sheetViews>
    <sheetView tabSelected="1" zoomScale="80" zoomScaleNormal="80" workbookViewId="0">
      <pane xSplit="3" ySplit="1" topLeftCell="E2" activePane="bottomRight" state="frozen"/>
      <selection pane="topRight" activeCell="D1" sqref="D1"/>
      <selection pane="bottomLeft" activeCell="A2" sqref="A2"/>
      <selection pane="bottomRight" activeCell="R23" sqref="R23"/>
    </sheetView>
  </sheetViews>
  <sheetFormatPr defaultColWidth="112.42578125" defaultRowHeight="15" x14ac:dyDescent="0.25"/>
  <cols>
    <col min="1" max="1" width="4.42578125" style="1" bestFit="1" customWidth="1"/>
    <col min="2" max="2" width="13.140625" style="1" customWidth="1"/>
    <col min="3" max="3" width="12" style="1" bestFit="1" customWidth="1"/>
    <col min="4" max="4" width="13.42578125" style="1" bestFit="1" customWidth="1"/>
    <col min="5" max="5" width="26.42578125" style="1" bestFit="1" customWidth="1"/>
    <col min="6" max="6" width="19.140625" style="1" bestFit="1" customWidth="1"/>
    <col min="7" max="7" width="17.5703125" style="1" bestFit="1" customWidth="1"/>
    <col min="8" max="8" width="14.5703125" style="1" bestFit="1" customWidth="1"/>
    <col min="9" max="9" width="12.5703125" style="1" bestFit="1" customWidth="1"/>
    <col min="10" max="10" width="13.85546875" style="1" bestFit="1" customWidth="1"/>
    <col min="11" max="11" width="8" style="1" bestFit="1" customWidth="1"/>
    <col min="12" max="12" width="17" style="1" bestFit="1" customWidth="1"/>
    <col min="13" max="13" width="7.85546875" style="1" customWidth="1"/>
    <col min="14" max="14" width="5.5703125" style="1" bestFit="1" customWidth="1"/>
    <col min="15" max="15" width="7.5703125" style="1" bestFit="1" customWidth="1"/>
    <col min="16" max="16" width="7.140625" style="1" bestFit="1" customWidth="1"/>
    <col min="17" max="17" width="19" style="1" bestFit="1" customWidth="1"/>
    <col min="18" max="18" width="18.5703125" style="1" bestFit="1" customWidth="1"/>
    <col min="19" max="19" width="19.85546875" style="1" bestFit="1" customWidth="1"/>
    <col min="20" max="20" width="13.140625" style="1" bestFit="1" customWidth="1"/>
    <col min="21" max="21" width="14.42578125" style="1" customWidth="1"/>
    <col min="22" max="39" width="19.140625" style="1" customWidth="1"/>
    <col min="40" max="40" width="15.85546875" style="1" customWidth="1"/>
    <col min="41" max="42" width="16.85546875" style="1" customWidth="1"/>
    <col min="43" max="44" width="17.5703125" style="1" customWidth="1"/>
    <col min="45" max="45" width="31.42578125" style="1" customWidth="1"/>
    <col min="46" max="46" width="27.5703125" style="1" customWidth="1"/>
    <col min="47" max="47" width="34.5703125" style="1" customWidth="1"/>
    <col min="48" max="48" width="22.5703125" style="1" customWidth="1"/>
    <col min="49" max="49" width="38.85546875" style="1" customWidth="1"/>
    <col min="50" max="50" width="44.85546875" style="1" customWidth="1"/>
    <col min="51" max="52" width="20.5703125" style="1" customWidth="1"/>
    <col min="53" max="53" width="37.85546875" style="1" customWidth="1"/>
    <col min="54" max="54" width="31.42578125" style="1" customWidth="1"/>
    <col min="55" max="55" width="22.5703125" style="1" customWidth="1"/>
    <col min="56" max="56" width="22" style="1" customWidth="1"/>
    <col min="57" max="57" width="21.42578125" style="1" bestFit="1" customWidth="1"/>
    <col min="58" max="58" width="18.85546875" style="1" bestFit="1" customWidth="1"/>
    <col min="59" max="59" width="32.85546875" style="1" customWidth="1"/>
    <col min="60" max="60" width="21.42578125" style="1" customWidth="1"/>
    <col min="61" max="61" width="17.140625" style="1" customWidth="1"/>
    <col min="62" max="62" width="18.42578125" style="1" customWidth="1"/>
    <col min="63" max="63" width="18.85546875" style="1" customWidth="1"/>
    <col min="64" max="16384" width="112.42578125" style="1"/>
  </cols>
  <sheetData>
    <row r="1" spans="1:63" s="2" customFormat="1" ht="14.45" customHeight="1" x14ac:dyDescent="0.25">
      <c r="A1" s="2" t="s">
        <v>824</v>
      </c>
      <c r="B1" s="2" t="s">
        <v>0</v>
      </c>
      <c r="C1" s="2" t="s">
        <v>1</v>
      </c>
      <c r="D1" s="2" t="s">
        <v>23</v>
      </c>
      <c r="E1" s="2" t="s">
        <v>2</v>
      </c>
      <c r="F1" s="2" t="s">
        <v>3</v>
      </c>
      <c r="G1" s="2" t="s">
        <v>4</v>
      </c>
      <c r="H1" s="2" t="s">
        <v>5</v>
      </c>
      <c r="I1" s="2" t="s">
        <v>6</v>
      </c>
      <c r="J1" s="2" t="s">
        <v>7</v>
      </c>
      <c r="K1" s="2" t="s">
        <v>8</v>
      </c>
      <c r="L1" s="2" t="s">
        <v>9</v>
      </c>
      <c r="M1" s="2" t="s">
        <v>10</v>
      </c>
      <c r="N1" s="2" t="s">
        <v>11</v>
      </c>
      <c r="O1" s="2" t="s">
        <v>12</v>
      </c>
      <c r="P1" s="2" t="s">
        <v>13</v>
      </c>
      <c r="Q1" s="2" t="s">
        <v>14</v>
      </c>
      <c r="R1" s="2" t="s">
        <v>15</v>
      </c>
      <c r="S1" s="2" t="s">
        <v>16</v>
      </c>
      <c r="T1" s="2" t="s">
        <v>17</v>
      </c>
      <c r="U1" s="2" t="s">
        <v>462</v>
      </c>
      <c r="V1" s="2" t="s">
        <v>24</v>
      </c>
      <c r="W1" s="2" t="s">
        <v>209</v>
      </c>
      <c r="X1" s="2" t="s">
        <v>784</v>
      </c>
      <c r="Y1" s="2" t="s">
        <v>835</v>
      </c>
      <c r="Z1" s="2" t="s">
        <v>797</v>
      </c>
      <c r="AA1" s="2" t="s">
        <v>828</v>
      </c>
      <c r="AB1" s="2" t="s">
        <v>827</v>
      </c>
      <c r="AC1" s="2" t="s">
        <v>796</v>
      </c>
      <c r="AD1" s="2" t="s">
        <v>829</v>
      </c>
      <c r="AE1" s="2" t="s">
        <v>833</v>
      </c>
      <c r="AF1" s="2" t="s">
        <v>834</v>
      </c>
      <c r="AG1" s="2" t="s">
        <v>579</v>
      </c>
      <c r="AH1" s="2" t="s">
        <v>830</v>
      </c>
      <c r="AI1" s="2" t="s">
        <v>803</v>
      </c>
      <c r="AJ1" s="2" t="s">
        <v>831</v>
      </c>
      <c r="AK1" s="2" t="s">
        <v>794</v>
      </c>
      <c r="AL1" s="2" t="s">
        <v>711</v>
      </c>
      <c r="AM1" s="2" t="s">
        <v>832</v>
      </c>
      <c r="AN1" s="2" t="s">
        <v>18</v>
      </c>
      <c r="AO1" s="2" t="s">
        <v>19</v>
      </c>
      <c r="AP1" s="2" t="s">
        <v>793</v>
      </c>
      <c r="AQ1" s="2" t="s">
        <v>791</v>
      </c>
      <c r="AR1" s="2" t="s">
        <v>792</v>
      </c>
      <c r="AS1" s="2" t="s">
        <v>367</v>
      </c>
      <c r="AT1" s="2" t="s">
        <v>368</v>
      </c>
      <c r="AU1" s="2" t="s">
        <v>369</v>
      </c>
      <c r="AV1" s="2" t="s">
        <v>823</v>
      </c>
      <c r="AW1" s="2" t="s">
        <v>370</v>
      </c>
      <c r="AX1" s="2" t="s">
        <v>371</v>
      </c>
      <c r="AY1" s="2" t="s">
        <v>789</v>
      </c>
      <c r="AZ1" s="2" t="s">
        <v>790</v>
      </c>
      <c r="BA1" s="2" t="s">
        <v>372</v>
      </c>
      <c r="BB1" s="2" t="s">
        <v>373</v>
      </c>
      <c r="BC1" s="2" t="s">
        <v>826</v>
      </c>
      <c r="BD1" s="2" t="s">
        <v>374</v>
      </c>
      <c r="BE1" s="2" t="s">
        <v>375</v>
      </c>
      <c r="BF1" s="2" t="s">
        <v>376</v>
      </c>
      <c r="BG1" s="2" t="s">
        <v>75</v>
      </c>
      <c r="BH1" s="2" t="s">
        <v>836</v>
      </c>
      <c r="BI1" s="2" t="s">
        <v>786</v>
      </c>
      <c r="BJ1" s="2" t="s">
        <v>787</v>
      </c>
      <c r="BK1" s="2" t="s">
        <v>788</v>
      </c>
    </row>
    <row r="2" spans="1:63" x14ac:dyDescent="0.25">
      <c r="A2" s="1">
        <v>1</v>
      </c>
      <c r="B2" s="1" t="s">
        <v>25</v>
      </c>
      <c r="C2" s="1" t="s">
        <v>269</v>
      </c>
      <c r="D2" s="1" t="s">
        <v>44</v>
      </c>
      <c r="E2" s="1" t="s">
        <v>8</v>
      </c>
      <c r="F2" s="1" t="s">
        <v>42</v>
      </c>
      <c r="G2" s="1" t="s">
        <v>48</v>
      </c>
      <c r="H2" s="1">
        <v>2014</v>
      </c>
      <c r="I2" s="1" t="s">
        <v>26</v>
      </c>
      <c r="J2" s="1" t="s">
        <v>51</v>
      </c>
      <c r="K2" s="1">
        <v>12201</v>
      </c>
      <c r="L2" s="1" t="s">
        <v>475</v>
      </c>
      <c r="M2" s="1" t="s">
        <v>45</v>
      </c>
      <c r="N2" s="1" t="s">
        <v>46</v>
      </c>
      <c r="O2" s="1" t="s">
        <v>44</v>
      </c>
      <c r="P2" s="1" t="s">
        <v>230</v>
      </c>
      <c r="Q2" s="1" t="s">
        <v>22</v>
      </c>
      <c r="R2" s="1" t="s">
        <v>47</v>
      </c>
      <c r="S2" s="1" t="s">
        <v>21</v>
      </c>
      <c r="T2" s="1" t="s">
        <v>43</v>
      </c>
      <c r="U2" s="1" t="s">
        <v>41</v>
      </c>
      <c r="V2" s="1" t="s">
        <v>205</v>
      </c>
      <c r="W2" s="1" t="s">
        <v>377</v>
      </c>
      <c r="X2" s="1" t="s">
        <v>377</v>
      </c>
      <c r="Y2" s="1" t="s">
        <v>394</v>
      </c>
      <c r="Z2" s="1" t="s">
        <v>394</v>
      </c>
      <c r="AA2" s="1" t="s">
        <v>394</v>
      </c>
      <c r="AB2" s="3" t="s">
        <v>394</v>
      </c>
      <c r="AC2" s="1" t="str">
        <f>IF(OR(Z2="Yes",AA2="Yes",AB2="Yes"),"Yes","No")</f>
        <v>No</v>
      </c>
      <c r="AD2" s="1" t="s">
        <v>394</v>
      </c>
      <c r="AE2" s="1" t="s">
        <v>394</v>
      </c>
      <c r="AF2" s="1" t="s">
        <v>394</v>
      </c>
      <c r="AG2" s="1" t="s">
        <v>394</v>
      </c>
      <c r="AH2" s="1" t="s">
        <v>394</v>
      </c>
      <c r="AI2" s="1" t="s">
        <v>394</v>
      </c>
      <c r="AJ2" s="1" t="s">
        <v>394</v>
      </c>
      <c r="AK2" s="1" t="s">
        <v>394</v>
      </c>
      <c r="AL2" s="1" t="s">
        <v>394</v>
      </c>
      <c r="AM2" s="1" t="str">
        <f>IF(COUNTIF(W2:AL2,"Yes")&gt;0,"OK","")</f>
        <v>OK</v>
      </c>
      <c r="AN2" s="1" t="s">
        <v>383</v>
      </c>
      <c r="AO2" s="1" t="s">
        <v>396</v>
      </c>
      <c r="AP2" s="1" t="s">
        <v>394</v>
      </c>
      <c r="AQ2" s="1" t="s">
        <v>394</v>
      </c>
      <c r="AR2" s="1" t="s">
        <v>394</v>
      </c>
      <c r="AS2" s="1" t="s">
        <v>377</v>
      </c>
      <c r="AT2" s="1" t="s">
        <v>377</v>
      </c>
      <c r="AU2" s="1" t="s">
        <v>394</v>
      </c>
      <c r="AV2" s="1" t="s">
        <v>377</v>
      </c>
      <c r="AW2" s="1" t="s">
        <v>394</v>
      </c>
      <c r="AX2" s="1" t="s">
        <v>378</v>
      </c>
      <c r="AY2" s="1" t="s">
        <v>394</v>
      </c>
      <c r="AZ2" s="1" t="s">
        <v>394</v>
      </c>
      <c r="BA2" s="1" t="s">
        <v>394</v>
      </c>
      <c r="BB2" s="1" t="s">
        <v>377</v>
      </c>
      <c r="BC2" s="1" t="s">
        <v>377</v>
      </c>
      <c r="BD2" s="1" t="s">
        <v>394</v>
      </c>
      <c r="BE2" s="1" t="s">
        <v>377</v>
      </c>
      <c r="BF2" s="1" t="s">
        <v>377</v>
      </c>
      <c r="BH2" s="1" t="s">
        <v>785</v>
      </c>
      <c r="BI2" s="1" t="s">
        <v>394</v>
      </c>
      <c r="BJ2" s="1" t="s">
        <v>394</v>
      </c>
      <c r="BK2" s="1" t="s">
        <v>394</v>
      </c>
    </row>
    <row r="3" spans="1:63" x14ac:dyDescent="0.25">
      <c r="A3" s="1">
        <v>2</v>
      </c>
      <c r="B3" s="1" t="s">
        <v>76</v>
      </c>
      <c r="C3" s="1" t="s">
        <v>268</v>
      </c>
      <c r="D3" s="1" t="s">
        <v>44</v>
      </c>
      <c r="E3" s="1" t="s">
        <v>8</v>
      </c>
      <c r="F3" s="1" t="s">
        <v>211</v>
      </c>
      <c r="G3" s="1" t="s">
        <v>56</v>
      </c>
      <c r="H3" s="1">
        <v>2017</v>
      </c>
      <c r="I3" s="1" t="s">
        <v>212</v>
      </c>
      <c r="J3" s="1" t="s">
        <v>51</v>
      </c>
      <c r="K3" s="1">
        <v>23</v>
      </c>
      <c r="L3" s="1" t="s">
        <v>475</v>
      </c>
      <c r="M3" s="1" t="s">
        <v>210</v>
      </c>
      <c r="N3" s="1" t="s">
        <v>466</v>
      </c>
      <c r="O3" s="1" t="s">
        <v>44</v>
      </c>
      <c r="P3" s="1" t="s">
        <v>20</v>
      </c>
      <c r="Q3" s="1" t="s">
        <v>466</v>
      </c>
      <c r="R3" s="1" t="s">
        <v>47</v>
      </c>
      <c r="S3" s="1" t="s">
        <v>21</v>
      </c>
      <c r="T3" s="1" t="s">
        <v>43</v>
      </c>
      <c r="U3" s="1" t="s">
        <v>209</v>
      </c>
      <c r="V3" s="1" t="s">
        <v>44</v>
      </c>
      <c r="W3" s="1" t="s">
        <v>377</v>
      </c>
      <c r="X3" s="1" t="s">
        <v>394</v>
      </c>
      <c r="Y3" s="1" t="s">
        <v>394</v>
      </c>
      <c r="Z3" s="1" t="s">
        <v>377</v>
      </c>
      <c r="AA3" s="1" t="s">
        <v>394</v>
      </c>
      <c r="AB3" s="3" t="s">
        <v>394</v>
      </c>
      <c r="AC3" s="1" t="str">
        <f t="shared" ref="AC3:AC66" si="0">IF(OR(Z3="Yes",AA3="Yes",AB3="Yes"),"Yes","No")</f>
        <v>Yes</v>
      </c>
      <c r="AD3" s="1" t="s">
        <v>394</v>
      </c>
      <c r="AE3" s="1" t="s">
        <v>394</v>
      </c>
      <c r="AF3" s="1" t="s">
        <v>394</v>
      </c>
      <c r="AG3" s="1" t="s">
        <v>394</v>
      </c>
      <c r="AH3" s="1" t="s">
        <v>394</v>
      </c>
      <c r="AI3" s="1" t="s">
        <v>394</v>
      </c>
      <c r="AJ3" s="1" t="s">
        <v>394</v>
      </c>
      <c r="AK3" s="1" t="s">
        <v>394</v>
      </c>
      <c r="AL3" s="1" t="s">
        <v>394</v>
      </c>
      <c r="AM3" s="1" t="str">
        <f t="shared" ref="AM3:AM66" si="1">IF(COUNTIF(W3:AL3,"Yes")&gt;0,"OK","")</f>
        <v>OK</v>
      </c>
      <c r="AN3" s="1" t="s">
        <v>383</v>
      </c>
      <c r="AO3" s="1" t="s">
        <v>396</v>
      </c>
      <c r="AP3" s="1" t="s">
        <v>394</v>
      </c>
      <c r="AQ3" s="1" t="s">
        <v>394</v>
      </c>
      <c r="AR3" s="1" t="s">
        <v>394</v>
      </c>
      <c r="AS3" s="1" t="s">
        <v>377</v>
      </c>
      <c r="AT3" s="1" t="s">
        <v>377</v>
      </c>
      <c r="AU3" s="1" t="s">
        <v>394</v>
      </c>
      <c r="AV3" s="1" t="s">
        <v>377</v>
      </c>
      <c r="AW3" s="1" t="s">
        <v>394</v>
      </c>
      <c r="AX3" s="1" t="s">
        <v>377</v>
      </c>
      <c r="AY3" s="1" t="s">
        <v>394</v>
      </c>
      <c r="AZ3" s="1" t="s">
        <v>394</v>
      </c>
      <c r="BA3" s="1" t="s">
        <v>394</v>
      </c>
      <c r="BB3" s="1" t="s">
        <v>377</v>
      </c>
      <c r="BC3" s="1" t="s">
        <v>377</v>
      </c>
      <c r="BD3" s="1" t="s">
        <v>377</v>
      </c>
      <c r="BE3" s="1" t="s">
        <v>394</v>
      </c>
      <c r="BF3" s="1" t="s">
        <v>394</v>
      </c>
      <c r="BH3" s="1" t="s">
        <v>785</v>
      </c>
      <c r="BI3" s="1" t="s">
        <v>394</v>
      </c>
      <c r="BJ3" s="1" t="s">
        <v>394</v>
      </c>
      <c r="BK3" s="1" t="s">
        <v>394</v>
      </c>
    </row>
    <row r="4" spans="1:63" x14ac:dyDescent="0.25">
      <c r="A4" s="1">
        <v>3</v>
      </c>
      <c r="B4" s="1" t="s">
        <v>77</v>
      </c>
      <c r="C4" s="1" t="s">
        <v>214</v>
      </c>
      <c r="D4" s="1" t="s">
        <v>215</v>
      </c>
      <c r="E4" s="1" t="s">
        <v>8</v>
      </c>
      <c r="F4" s="1" t="s">
        <v>213</v>
      </c>
      <c r="G4" s="1" t="s">
        <v>56</v>
      </c>
      <c r="H4" s="1">
        <v>2018</v>
      </c>
      <c r="I4" s="1" t="s">
        <v>212</v>
      </c>
      <c r="J4" s="1" t="s">
        <v>51</v>
      </c>
      <c r="K4" s="1">
        <v>148</v>
      </c>
      <c r="L4" s="1" t="s">
        <v>475</v>
      </c>
      <c r="M4" s="1" t="s">
        <v>380</v>
      </c>
      <c r="N4" s="1" t="s">
        <v>466</v>
      </c>
      <c r="O4" s="1" t="s">
        <v>44</v>
      </c>
      <c r="P4" s="1" t="s">
        <v>20</v>
      </c>
      <c r="Q4" s="1" t="s">
        <v>466</v>
      </c>
      <c r="R4" s="1" t="s">
        <v>47</v>
      </c>
      <c r="S4" s="1" t="s">
        <v>21</v>
      </c>
      <c r="T4" s="1" t="s">
        <v>43</v>
      </c>
      <c r="U4" s="1" t="s">
        <v>209</v>
      </c>
      <c r="V4" s="1" t="s">
        <v>379</v>
      </c>
      <c r="W4" s="1" t="s">
        <v>377</v>
      </c>
      <c r="X4" s="1" t="s">
        <v>394</v>
      </c>
      <c r="Y4" s="1" t="s">
        <v>394</v>
      </c>
      <c r="Z4" s="1" t="s">
        <v>394</v>
      </c>
      <c r="AA4" s="1" t="s">
        <v>394</v>
      </c>
      <c r="AB4" s="3" t="s">
        <v>394</v>
      </c>
      <c r="AC4" s="1" t="str">
        <f t="shared" si="0"/>
        <v>No</v>
      </c>
      <c r="AD4" s="1" t="s">
        <v>394</v>
      </c>
      <c r="AE4" s="1" t="s">
        <v>394</v>
      </c>
      <c r="AF4" s="1" t="s">
        <v>394</v>
      </c>
      <c r="AG4" s="1" t="s">
        <v>394</v>
      </c>
      <c r="AH4" s="1" t="s">
        <v>394</v>
      </c>
      <c r="AI4" s="1" t="s">
        <v>394</v>
      </c>
      <c r="AJ4" s="1" t="s">
        <v>394</v>
      </c>
      <c r="AK4" s="1" t="s">
        <v>394</v>
      </c>
      <c r="AL4" s="1" t="s">
        <v>394</v>
      </c>
      <c r="AM4" s="1" t="str">
        <f t="shared" si="1"/>
        <v>OK</v>
      </c>
      <c r="AN4" s="1" t="s">
        <v>383</v>
      </c>
      <c r="AO4" s="1" t="s">
        <v>47</v>
      </c>
      <c r="AP4" s="1" t="s">
        <v>394</v>
      </c>
      <c r="AQ4" s="1" t="s">
        <v>394</v>
      </c>
      <c r="AR4" s="1" t="s">
        <v>394</v>
      </c>
      <c r="AS4" s="1" t="s">
        <v>377</v>
      </c>
      <c r="AT4" s="1" t="s">
        <v>377</v>
      </c>
      <c r="AU4" s="1" t="s">
        <v>377</v>
      </c>
      <c r="AV4" s="1" t="s">
        <v>377</v>
      </c>
      <c r="AW4" s="1" t="s">
        <v>394</v>
      </c>
      <c r="AX4" s="1" t="s">
        <v>378</v>
      </c>
      <c r="AY4" s="1" t="s">
        <v>394</v>
      </c>
      <c r="AZ4" s="1" t="s">
        <v>394</v>
      </c>
      <c r="BA4" s="1" t="s">
        <v>394</v>
      </c>
      <c r="BB4" s="1" t="s">
        <v>377</v>
      </c>
      <c r="BC4" s="1" t="s">
        <v>825</v>
      </c>
      <c r="BD4" s="1" t="s">
        <v>394</v>
      </c>
      <c r="BE4" s="1" t="s">
        <v>394</v>
      </c>
      <c r="BF4" s="1" t="s">
        <v>394</v>
      </c>
      <c r="BH4" s="1" t="s">
        <v>785</v>
      </c>
      <c r="BI4" s="1" t="s">
        <v>394</v>
      </c>
      <c r="BJ4" s="1" t="s">
        <v>394</v>
      </c>
      <c r="BK4" s="1" t="s">
        <v>394</v>
      </c>
    </row>
    <row r="5" spans="1:63" x14ac:dyDescent="0.25">
      <c r="A5" s="1">
        <v>4</v>
      </c>
      <c r="B5" s="1" t="s">
        <v>78</v>
      </c>
      <c r="C5" s="1" t="s">
        <v>218</v>
      </c>
      <c r="D5" s="1" t="s">
        <v>44</v>
      </c>
      <c r="E5" s="1" t="s">
        <v>8</v>
      </c>
      <c r="F5" s="1" t="s">
        <v>216</v>
      </c>
      <c r="G5" s="1" t="s">
        <v>217</v>
      </c>
      <c r="H5" s="1">
        <v>2016</v>
      </c>
      <c r="I5" s="1" t="s">
        <v>219</v>
      </c>
      <c r="J5" s="1" t="s">
        <v>51</v>
      </c>
      <c r="K5" s="1">
        <v>5240</v>
      </c>
      <c r="L5" s="1" t="s">
        <v>475</v>
      </c>
      <c r="M5" s="1" t="s">
        <v>381</v>
      </c>
      <c r="N5" s="1" t="s">
        <v>46</v>
      </c>
      <c r="O5" s="1" t="s">
        <v>44</v>
      </c>
      <c r="P5" s="1" t="s">
        <v>20</v>
      </c>
      <c r="Q5" s="1" t="s">
        <v>22</v>
      </c>
      <c r="R5" s="1" t="s">
        <v>47</v>
      </c>
      <c r="S5" s="1" t="s">
        <v>21</v>
      </c>
      <c r="T5" s="1" t="s">
        <v>43</v>
      </c>
      <c r="U5" s="1" t="s">
        <v>41</v>
      </c>
      <c r="V5" s="1" t="s">
        <v>44</v>
      </c>
      <c r="W5" s="1" t="s">
        <v>377</v>
      </c>
      <c r="X5" s="1" t="s">
        <v>377</v>
      </c>
      <c r="Y5" s="1" t="s">
        <v>394</v>
      </c>
      <c r="Z5" s="1" t="s">
        <v>377</v>
      </c>
      <c r="AA5" s="1" t="s">
        <v>377</v>
      </c>
      <c r="AB5" s="3" t="s">
        <v>377</v>
      </c>
      <c r="AC5" s="1" t="str">
        <f t="shared" si="0"/>
        <v>Yes</v>
      </c>
      <c r="AD5" s="1" t="s">
        <v>394</v>
      </c>
      <c r="AE5" s="1" t="s">
        <v>394</v>
      </c>
      <c r="AF5" s="1" t="s">
        <v>394</v>
      </c>
      <c r="AG5" s="1" t="s">
        <v>394</v>
      </c>
      <c r="AH5" s="1" t="s">
        <v>394</v>
      </c>
      <c r="AI5" s="1" t="s">
        <v>394</v>
      </c>
      <c r="AJ5" s="1" t="s">
        <v>394</v>
      </c>
      <c r="AK5" s="1" t="s">
        <v>394</v>
      </c>
      <c r="AL5" s="1" t="s">
        <v>394</v>
      </c>
      <c r="AM5" s="1" t="str">
        <f t="shared" si="1"/>
        <v>OK</v>
      </c>
      <c r="AN5" s="1" t="s">
        <v>383</v>
      </c>
      <c r="AO5" s="1" t="s">
        <v>47</v>
      </c>
      <c r="AP5" s="1" t="s">
        <v>394</v>
      </c>
      <c r="AQ5" s="1" t="s">
        <v>394</v>
      </c>
      <c r="AR5" s="1" t="s">
        <v>394</v>
      </c>
      <c r="AS5" s="1" t="s">
        <v>377</v>
      </c>
      <c r="AT5" s="1" t="s">
        <v>377</v>
      </c>
      <c r="AU5" s="1" t="s">
        <v>394</v>
      </c>
      <c r="AV5" s="1" t="s">
        <v>377</v>
      </c>
      <c r="AW5" s="1" t="s">
        <v>394</v>
      </c>
      <c r="AX5" s="1" t="s">
        <v>377</v>
      </c>
      <c r="AY5" s="1" t="s">
        <v>394</v>
      </c>
      <c r="AZ5" s="1" t="s">
        <v>394</v>
      </c>
      <c r="BA5" s="1" t="s">
        <v>394</v>
      </c>
      <c r="BB5" s="1" t="s">
        <v>377</v>
      </c>
      <c r="BC5" s="1" t="s">
        <v>377</v>
      </c>
      <c r="BD5" s="1" t="s">
        <v>377</v>
      </c>
      <c r="BE5" s="1" t="s">
        <v>377</v>
      </c>
      <c r="BF5" s="1" t="s">
        <v>377</v>
      </c>
      <c r="BH5" s="1" t="s">
        <v>785</v>
      </c>
      <c r="BI5" s="1" t="s">
        <v>394</v>
      </c>
      <c r="BJ5" s="1" t="s">
        <v>394</v>
      </c>
      <c r="BK5" s="1" t="s">
        <v>394</v>
      </c>
    </row>
    <row r="6" spans="1:63" x14ac:dyDescent="0.25">
      <c r="A6" s="1">
        <v>5</v>
      </c>
      <c r="B6" s="1" t="s">
        <v>79</v>
      </c>
      <c r="C6" s="1" t="s">
        <v>267</v>
      </c>
      <c r="D6" s="1" t="s">
        <v>44</v>
      </c>
      <c r="E6" s="1" t="s">
        <v>8</v>
      </c>
      <c r="F6" s="1" t="s">
        <v>206</v>
      </c>
      <c r="G6" s="1" t="s">
        <v>207</v>
      </c>
      <c r="H6" s="1">
        <v>2017</v>
      </c>
      <c r="I6" s="1" t="s">
        <v>34</v>
      </c>
      <c r="J6" s="1" t="s">
        <v>51</v>
      </c>
      <c r="K6" s="1">
        <v>17682</v>
      </c>
      <c r="L6" s="1" t="s">
        <v>475</v>
      </c>
      <c r="M6" s="1" t="s">
        <v>382</v>
      </c>
      <c r="N6" s="1" t="s">
        <v>466</v>
      </c>
      <c r="O6" s="1" t="s">
        <v>44</v>
      </c>
      <c r="P6" s="1" t="s">
        <v>20</v>
      </c>
      <c r="Q6" s="1" t="s">
        <v>466</v>
      </c>
      <c r="R6" s="1" t="s">
        <v>208</v>
      </c>
      <c r="S6" s="1" t="s">
        <v>21</v>
      </c>
      <c r="T6" s="1" t="s">
        <v>43</v>
      </c>
      <c r="U6" s="1" t="s">
        <v>209</v>
      </c>
      <c r="V6" s="1" t="s">
        <v>385</v>
      </c>
      <c r="W6" s="1" t="s">
        <v>377</v>
      </c>
      <c r="X6" s="1" t="s">
        <v>377</v>
      </c>
      <c r="Y6" s="1" t="s">
        <v>394</v>
      </c>
      <c r="Z6" s="1" t="s">
        <v>394</v>
      </c>
      <c r="AA6" s="1" t="s">
        <v>394</v>
      </c>
      <c r="AB6" s="3" t="s">
        <v>394</v>
      </c>
      <c r="AC6" s="1" t="str">
        <f t="shared" si="0"/>
        <v>No</v>
      </c>
      <c r="AD6" s="1" t="s">
        <v>394</v>
      </c>
      <c r="AE6" s="1" t="s">
        <v>394</v>
      </c>
      <c r="AF6" s="1" t="s">
        <v>394</v>
      </c>
      <c r="AG6" s="1" t="s">
        <v>394</v>
      </c>
      <c r="AH6" s="1" t="s">
        <v>394</v>
      </c>
      <c r="AI6" s="1" t="s">
        <v>394</v>
      </c>
      <c r="AJ6" s="1" t="s">
        <v>394</v>
      </c>
      <c r="AK6" s="1" t="s">
        <v>394</v>
      </c>
      <c r="AL6" s="1" t="s">
        <v>394</v>
      </c>
      <c r="AM6" s="1" t="str">
        <f t="shared" si="1"/>
        <v>OK</v>
      </c>
      <c r="AN6" s="1" t="s">
        <v>383</v>
      </c>
      <c r="AO6" s="1" t="s">
        <v>384</v>
      </c>
      <c r="AP6" s="1" t="s">
        <v>394</v>
      </c>
      <c r="AQ6" s="1" t="s">
        <v>394</v>
      </c>
      <c r="AR6" s="1" t="s">
        <v>394</v>
      </c>
      <c r="AS6" s="1" t="s">
        <v>377</v>
      </c>
      <c r="AT6" s="1" t="s">
        <v>377</v>
      </c>
      <c r="AU6" s="1" t="s">
        <v>377</v>
      </c>
      <c r="AV6" s="1" t="s">
        <v>377</v>
      </c>
      <c r="AW6" s="1" t="s">
        <v>394</v>
      </c>
      <c r="AX6" s="1" t="s">
        <v>377</v>
      </c>
      <c r="AY6" s="1" t="s">
        <v>394</v>
      </c>
      <c r="AZ6" s="1" t="s">
        <v>394</v>
      </c>
      <c r="BA6" s="1" t="s">
        <v>825</v>
      </c>
      <c r="BB6" s="1" t="s">
        <v>377</v>
      </c>
      <c r="BC6" s="1" t="s">
        <v>377</v>
      </c>
      <c r="BD6" s="1" t="s">
        <v>377</v>
      </c>
      <c r="BE6" s="1" t="s">
        <v>377</v>
      </c>
      <c r="BF6" s="1" t="s">
        <v>377</v>
      </c>
      <c r="BH6" s="1" t="s">
        <v>785</v>
      </c>
      <c r="BI6" s="1" t="s">
        <v>394</v>
      </c>
      <c r="BJ6" s="1" t="s">
        <v>394</v>
      </c>
      <c r="BK6" s="1" t="s">
        <v>394</v>
      </c>
    </row>
    <row r="7" spans="1:63" x14ac:dyDescent="0.25">
      <c r="A7" s="1">
        <v>6</v>
      </c>
      <c r="B7" s="1" t="s">
        <v>80</v>
      </c>
      <c r="C7" s="1" t="s">
        <v>221</v>
      </c>
      <c r="D7" s="1" t="s">
        <v>44</v>
      </c>
      <c r="E7" s="1" t="s">
        <v>8</v>
      </c>
      <c r="F7" s="1" t="s">
        <v>220</v>
      </c>
      <c r="G7" s="1" t="s">
        <v>767</v>
      </c>
      <c r="H7" s="1">
        <v>2023</v>
      </c>
      <c r="I7" s="1" t="s">
        <v>34</v>
      </c>
      <c r="J7" s="1" t="s">
        <v>51</v>
      </c>
      <c r="K7" s="1">
        <v>633</v>
      </c>
      <c r="L7" s="1" t="s">
        <v>475</v>
      </c>
      <c r="M7" s="1" t="s">
        <v>386</v>
      </c>
      <c r="N7" s="1" t="s">
        <v>466</v>
      </c>
      <c r="O7" s="1" t="s">
        <v>44</v>
      </c>
      <c r="P7" s="1" t="s">
        <v>20</v>
      </c>
      <c r="Q7" s="1" t="s">
        <v>466</v>
      </c>
      <c r="R7" s="1" t="s">
        <v>47</v>
      </c>
      <c r="S7" s="1" t="s">
        <v>21</v>
      </c>
      <c r="T7" s="1" t="s">
        <v>8</v>
      </c>
      <c r="U7" s="1" t="s">
        <v>209</v>
      </c>
      <c r="V7" s="1" t="s">
        <v>44</v>
      </c>
      <c r="W7" s="1" t="s">
        <v>377</v>
      </c>
      <c r="X7" s="1" t="s">
        <v>394</v>
      </c>
      <c r="Y7" s="1" t="s">
        <v>394</v>
      </c>
      <c r="Z7" s="1" t="s">
        <v>377</v>
      </c>
      <c r="AA7" s="1" t="s">
        <v>394</v>
      </c>
      <c r="AB7" s="3" t="s">
        <v>394</v>
      </c>
      <c r="AC7" s="1" t="str">
        <f t="shared" si="0"/>
        <v>Yes</v>
      </c>
      <c r="AD7" s="1" t="s">
        <v>394</v>
      </c>
      <c r="AE7" s="1" t="s">
        <v>394</v>
      </c>
      <c r="AF7" s="1" t="s">
        <v>394</v>
      </c>
      <c r="AG7" s="1" t="s">
        <v>394</v>
      </c>
      <c r="AH7" s="1" t="s">
        <v>394</v>
      </c>
      <c r="AI7" s="1" t="s">
        <v>394</v>
      </c>
      <c r="AJ7" s="1" t="s">
        <v>394</v>
      </c>
      <c r="AK7" s="1" t="s">
        <v>394</v>
      </c>
      <c r="AL7" s="1" t="s">
        <v>394</v>
      </c>
      <c r="AM7" s="1" t="str">
        <f t="shared" si="1"/>
        <v>OK</v>
      </c>
      <c r="AN7" s="1" t="s">
        <v>383</v>
      </c>
      <c r="AO7" s="1" t="s">
        <v>387</v>
      </c>
      <c r="AP7" s="1" t="s">
        <v>394</v>
      </c>
      <c r="AQ7" s="1" t="s">
        <v>394</v>
      </c>
      <c r="AR7" s="1" t="s">
        <v>394</v>
      </c>
      <c r="AS7" s="1" t="s">
        <v>377</v>
      </c>
      <c r="AT7" s="1" t="s">
        <v>377</v>
      </c>
      <c r="AU7" s="1" t="s">
        <v>377</v>
      </c>
      <c r="AV7" s="1" t="s">
        <v>377</v>
      </c>
      <c r="AW7" s="1" t="s">
        <v>394</v>
      </c>
      <c r="AX7" s="1" t="s">
        <v>378</v>
      </c>
      <c r="AY7" s="1" t="s">
        <v>394</v>
      </c>
      <c r="AZ7" s="1" t="s">
        <v>394</v>
      </c>
      <c r="BA7" s="1" t="s">
        <v>394</v>
      </c>
      <c r="BB7" s="1" t="s">
        <v>377</v>
      </c>
      <c r="BC7" s="1" t="s">
        <v>377</v>
      </c>
      <c r="BD7" s="1" t="s">
        <v>377</v>
      </c>
      <c r="BE7" s="1" t="s">
        <v>825</v>
      </c>
      <c r="BF7" s="1" t="s">
        <v>394</v>
      </c>
      <c r="BH7" s="1" t="s">
        <v>785</v>
      </c>
      <c r="BI7" s="1" t="s">
        <v>394</v>
      </c>
      <c r="BJ7" s="1" t="s">
        <v>394</v>
      </c>
      <c r="BK7" s="1" t="s">
        <v>394</v>
      </c>
    </row>
    <row r="8" spans="1:63" x14ac:dyDescent="0.25">
      <c r="A8" s="1">
        <v>7</v>
      </c>
      <c r="B8" s="1" t="s">
        <v>81</v>
      </c>
      <c r="C8" s="1" t="s">
        <v>225</v>
      </c>
      <c r="D8" s="1" t="s">
        <v>226</v>
      </c>
      <c r="E8" s="1" t="s">
        <v>8</v>
      </c>
      <c r="F8" s="1" t="s">
        <v>222</v>
      </c>
      <c r="G8" s="1" t="s">
        <v>56</v>
      </c>
      <c r="H8" s="1">
        <v>2021</v>
      </c>
      <c r="I8" s="1" t="s">
        <v>223</v>
      </c>
      <c r="J8" s="1" t="s">
        <v>51</v>
      </c>
      <c r="K8" s="1">
        <v>273</v>
      </c>
      <c r="L8" s="1" t="s">
        <v>224</v>
      </c>
      <c r="M8" s="1" t="s">
        <v>389</v>
      </c>
      <c r="N8" s="1" t="s">
        <v>819</v>
      </c>
      <c r="O8" s="1" t="s">
        <v>393</v>
      </c>
      <c r="P8" s="1" t="s">
        <v>20</v>
      </c>
      <c r="Q8" s="1" t="s">
        <v>22</v>
      </c>
      <c r="R8" s="1" t="s">
        <v>390</v>
      </c>
      <c r="S8" s="1" t="s">
        <v>21</v>
      </c>
      <c r="T8" s="1" t="s">
        <v>43</v>
      </c>
      <c r="U8" s="1" t="s">
        <v>41</v>
      </c>
      <c r="V8" s="1" t="s">
        <v>391</v>
      </c>
      <c r="W8" s="1" t="s">
        <v>394</v>
      </c>
      <c r="X8" s="1" t="s">
        <v>377</v>
      </c>
      <c r="Y8" s="1" t="s">
        <v>394</v>
      </c>
      <c r="Z8" s="1" t="s">
        <v>394</v>
      </c>
      <c r="AA8" s="1" t="s">
        <v>394</v>
      </c>
      <c r="AB8" s="3" t="s">
        <v>394</v>
      </c>
      <c r="AC8" s="1" t="str">
        <f t="shared" si="0"/>
        <v>No</v>
      </c>
      <c r="AD8" s="1" t="s">
        <v>394</v>
      </c>
      <c r="AE8" s="1" t="s">
        <v>394</v>
      </c>
      <c r="AF8" s="1" t="s">
        <v>394</v>
      </c>
      <c r="AG8" s="1" t="s">
        <v>394</v>
      </c>
      <c r="AH8" s="1" t="s">
        <v>394</v>
      </c>
      <c r="AI8" s="1" t="s">
        <v>394</v>
      </c>
      <c r="AJ8" s="1" t="s">
        <v>394</v>
      </c>
      <c r="AK8" s="1" t="s">
        <v>394</v>
      </c>
      <c r="AL8" s="1" t="s">
        <v>394</v>
      </c>
      <c r="AM8" s="1" t="str">
        <f t="shared" si="1"/>
        <v>OK</v>
      </c>
      <c r="AN8" s="1" t="s">
        <v>383</v>
      </c>
      <c r="AO8" s="1" t="s">
        <v>771</v>
      </c>
      <c r="AP8" s="1" t="s">
        <v>394</v>
      </c>
      <c r="AQ8" s="1" t="s">
        <v>394</v>
      </c>
      <c r="AR8" s="1" t="s">
        <v>394</v>
      </c>
      <c r="AS8" s="1" t="s">
        <v>377</v>
      </c>
      <c r="AT8" s="1" t="s">
        <v>377</v>
      </c>
      <c r="AU8" s="1" t="s">
        <v>394</v>
      </c>
      <c r="AV8" s="1" t="s">
        <v>377</v>
      </c>
      <c r="AW8" s="1" t="s">
        <v>377</v>
      </c>
      <c r="AX8" s="1" t="s">
        <v>378</v>
      </c>
      <c r="AY8" s="1" t="s">
        <v>394</v>
      </c>
      <c r="AZ8" s="1" t="s">
        <v>377</v>
      </c>
      <c r="BA8" s="1" t="s">
        <v>377</v>
      </c>
      <c r="BB8" s="1" t="s">
        <v>377</v>
      </c>
      <c r="BC8" s="1" t="s">
        <v>377</v>
      </c>
      <c r="BD8" s="1" t="s">
        <v>377</v>
      </c>
      <c r="BE8" s="1" t="s">
        <v>377</v>
      </c>
      <c r="BF8" s="1" t="s">
        <v>377</v>
      </c>
      <c r="BH8" s="1" t="s">
        <v>785</v>
      </c>
      <c r="BI8" s="1" t="s">
        <v>394</v>
      </c>
      <c r="BJ8" s="1" t="s">
        <v>394</v>
      </c>
      <c r="BK8" s="1" t="s">
        <v>394</v>
      </c>
    </row>
    <row r="9" spans="1:63" x14ac:dyDescent="0.25">
      <c r="A9" s="1">
        <v>8</v>
      </c>
      <c r="B9" s="1" t="s">
        <v>82</v>
      </c>
      <c r="C9" s="1" t="s">
        <v>228</v>
      </c>
      <c r="D9" s="1" t="s">
        <v>44</v>
      </c>
      <c r="E9" s="1" t="s">
        <v>8</v>
      </c>
      <c r="F9" s="1" t="s">
        <v>227</v>
      </c>
      <c r="G9" s="1" t="s">
        <v>783</v>
      </c>
      <c r="H9" s="1">
        <v>2015</v>
      </c>
      <c r="I9" s="1" t="s">
        <v>26</v>
      </c>
      <c r="J9" s="1" t="s">
        <v>51</v>
      </c>
      <c r="K9" s="1">
        <v>4020</v>
      </c>
      <c r="L9" s="1" t="s">
        <v>229</v>
      </c>
      <c r="M9" s="1" t="s">
        <v>742</v>
      </c>
      <c r="N9" s="1" t="s">
        <v>818</v>
      </c>
      <c r="O9" s="1" t="s">
        <v>392</v>
      </c>
      <c r="P9" s="1" t="s">
        <v>230</v>
      </c>
      <c r="Q9" s="1" t="s">
        <v>518</v>
      </c>
      <c r="R9" s="1" t="s">
        <v>231</v>
      </c>
      <c r="S9" s="1" t="s">
        <v>21</v>
      </c>
      <c r="T9" s="1" t="s">
        <v>43</v>
      </c>
      <c r="U9" s="1" t="s">
        <v>605</v>
      </c>
      <c r="V9" s="1" t="s">
        <v>44</v>
      </c>
      <c r="W9" s="1" t="s">
        <v>377</v>
      </c>
      <c r="X9" s="1" t="s">
        <v>377</v>
      </c>
      <c r="Y9" s="1" t="s">
        <v>394</v>
      </c>
      <c r="Z9" s="1" t="s">
        <v>394</v>
      </c>
      <c r="AA9" s="1" t="s">
        <v>394</v>
      </c>
      <c r="AB9" s="3" t="s">
        <v>394</v>
      </c>
      <c r="AC9" s="1" t="str">
        <f t="shared" si="0"/>
        <v>No</v>
      </c>
      <c r="AD9" s="1" t="s">
        <v>394</v>
      </c>
      <c r="AE9" s="1" t="s">
        <v>394</v>
      </c>
      <c r="AF9" s="1" t="s">
        <v>394</v>
      </c>
      <c r="AG9" s="1" t="s">
        <v>394</v>
      </c>
      <c r="AH9" s="1" t="s">
        <v>394</v>
      </c>
      <c r="AI9" s="1" t="s">
        <v>394</v>
      </c>
      <c r="AJ9" s="1" t="s">
        <v>394</v>
      </c>
      <c r="AK9" s="1" t="s">
        <v>394</v>
      </c>
      <c r="AL9" s="1" t="s">
        <v>394</v>
      </c>
      <c r="AM9" s="1" t="str">
        <f t="shared" si="1"/>
        <v>OK</v>
      </c>
      <c r="AN9" s="1" t="s">
        <v>383</v>
      </c>
      <c r="AO9" s="1" t="s">
        <v>772</v>
      </c>
      <c r="AP9" s="1" t="s">
        <v>394</v>
      </c>
      <c r="AQ9" s="1" t="s">
        <v>394</v>
      </c>
      <c r="AR9" s="1" t="s">
        <v>394</v>
      </c>
      <c r="AS9" s="1" t="s">
        <v>377</v>
      </c>
      <c r="AT9" s="1" t="s">
        <v>377</v>
      </c>
      <c r="AU9" s="1" t="s">
        <v>394</v>
      </c>
      <c r="AV9" s="1" t="s">
        <v>377</v>
      </c>
      <c r="AW9" s="1" t="s">
        <v>394</v>
      </c>
      <c r="AX9" s="1" t="s">
        <v>377</v>
      </c>
      <c r="AY9" s="1" t="s">
        <v>394</v>
      </c>
      <c r="AZ9" s="1" t="s">
        <v>394</v>
      </c>
      <c r="BA9" s="1" t="s">
        <v>377</v>
      </c>
      <c r="BB9" s="1" t="s">
        <v>377</v>
      </c>
      <c r="BC9" s="1" t="s">
        <v>377</v>
      </c>
      <c r="BD9" s="1" t="s">
        <v>377</v>
      </c>
      <c r="BE9" s="1" t="s">
        <v>394</v>
      </c>
      <c r="BF9" s="1" t="s">
        <v>377</v>
      </c>
      <c r="BH9" s="1" t="s">
        <v>785</v>
      </c>
      <c r="BI9" s="1" t="s">
        <v>394</v>
      </c>
      <c r="BJ9" s="1" t="s">
        <v>394</v>
      </c>
      <c r="BK9" s="1" t="s">
        <v>394</v>
      </c>
    </row>
    <row r="10" spans="1:63" x14ac:dyDescent="0.25">
      <c r="A10" s="1">
        <v>9</v>
      </c>
      <c r="B10" s="1" t="s">
        <v>83</v>
      </c>
      <c r="C10" s="1" t="s">
        <v>232</v>
      </c>
      <c r="D10" s="1" t="s">
        <v>44</v>
      </c>
      <c r="E10" s="1" t="s">
        <v>8</v>
      </c>
      <c r="F10" s="1" t="s">
        <v>233</v>
      </c>
      <c r="G10" s="1" t="s">
        <v>56</v>
      </c>
      <c r="H10" s="1">
        <v>2020</v>
      </c>
      <c r="I10" s="1" t="s">
        <v>212</v>
      </c>
      <c r="J10" s="1" t="s">
        <v>51</v>
      </c>
      <c r="K10" s="1">
        <v>996</v>
      </c>
      <c r="L10" s="1" t="s">
        <v>476</v>
      </c>
      <c r="M10" s="1" t="s">
        <v>743</v>
      </c>
      <c r="N10" s="1" t="s">
        <v>466</v>
      </c>
      <c r="O10" s="1" t="s">
        <v>44</v>
      </c>
      <c r="P10" s="1" t="s">
        <v>20</v>
      </c>
      <c r="Q10" s="1" t="s">
        <v>466</v>
      </c>
      <c r="R10" s="1" t="s">
        <v>47</v>
      </c>
      <c r="S10" s="1" t="s">
        <v>21</v>
      </c>
      <c r="T10" s="1" t="s">
        <v>43</v>
      </c>
      <c r="U10" s="1" t="s">
        <v>209</v>
      </c>
      <c r="V10" s="1" t="s">
        <v>44</v>
      </c>
      <c r="W10" s="1" t="s">
        <v>377</v>
      </c>
      <c r="X10" s="1" t="s">
        <v>394</v>
      </c>
      <c r="Y10" s="1" t="s">
        <v>394</v>
      </c>
      <c r="Z10" s="1" t="s">
        <v>377</v>
      </c>
      <c r="AA10" s="1" t="s">
        <v>394</v>
      </c>
      <c r="AB10" s="3" t="s">
        <v>394</v>
      </c>
      <c r="AC10" s="1" t="str">
        <f t="shared" si="0"/>
        <v>Yes</v>
      </c>
      <c r="AD10" s="1" t="s">
        <v>394</v>
      </c>
      <c r="AE10" s="1" t="s">
        <v>394</v>
      </c>
      <c r="AF10" s="1" t="s">
        <v>394</v>
      </c>
      <c r="AG10" s="1" t="s">
        <v>394</v>
      </c>
      <c r="AH10" s="1" t="s">
        <v>394</v>
      </c>
      <c r="AI10" s="1" t="s">
        <v>394</v>
      </c>
      <c r="AJ10" s="1" t="s">
        <v>394</v>
      </c>
      <c r="AK10" s="1" t="s">
        <v>394</v>
      </c>
      <c r="AL10" s="1" t="s">
        <v>394</v>
      </c>
      <c r="AM10" s="1" t="str">
        <f t="shared" si="1"/>
        <v>OK</v>
      </c>
      <c r="AN10" s="1" t="s">
        <v>383</v>
      </c>
      <c r="AO10" s="1" t="s">
        <v>773</v>
      </c>
      <c r="AP10" s="1" t="s">
        <v>394</v>
      </c>
      <c r="AQ10" s="1" t="s">
        <v>394</v>
      </c>
      <c r="AR10" s="1" t="s">
        <v>394</v>
      </c>
      <c r="AS10" s="1" t="s">
        <v>377</v>
      </c>
      <c r="AT10" s="1" t="s">
        <v>377</v>
      </c>
      <c r="AU10" s="1" t="s">
        <v>394</v>
      </c>
      <c r="AV10" s="1" t="s">
        <v>377</v>
      </c>
      <c r="AW10" s="1" t="s">
        <v>394</v>
      </c>
      <c r="AX10" s="1" t="s">
        <v>377</v>
      </c>
      <c r="AY10" s="1" t="s">
        <v>394</v>
      </c>
      <c r="AZ10" s="1" t="s">
        <v>394</v>
      </c>
      <c r="BA10" s="1" t="s">
        <v>825</v>
      </c>
      <c r="BB10" s="1" t="s">
        <v>377</v>
      </c>
      <c r="BC10" s="1" t="s">
        <v>377</v>
      </c>
      <c r="BD10" s="1" t="s">
        <v>377</v>
      </c>
      <c r="BE10" s="1" t="s">
        <v>394</v>
      </c>
      <c r="BF10" s="1" t="s">
        <v>394</v>
      </c>
      <c r="BH10" s="1" t="s">
        <v>785</v>
      </c>
      <c r="BI10" s="1" t="s">
        <v>394</v>
      </c>
      <c r="BJ10" s="1" t="s">
        <v>394</v>
      </c>
      <c r="BK10" s="1" t="s">
        <v>394</v>
      </c>
    </row>
    <row r="11" spans="1:63" x14ac:dyDescent="0.25">
      <c r="A11" s="1">
        <v>10</v>
      </c>
      <c r="B11" s="1" t="s">
        <v>84</v>
      </c>
      <c r="C11" s="1" t="s">
        <v>236</v>
      </c>
      <c r="D11" s="1" t="s">
        <v>44</v>
      </c>
      <c r="E11" s="1" t="s">
        <v>8</v>
      </c>
      <c r="F11" s="1" t="s">
        <v>235</v>
      </c>
      <c r="G11" s="1" t="s">
        <v>56</v>
      </c>
      <c r="H11" s="1">
        <v>2017</v>
      </c>
      <c r="I11" s="1" t="s">
        <v>34</v>
      </c>
      <c r="J11" s="1" t="s">
        <v>51</v>
      </c>
      <c r="K11" s="1">
        <v>74</v>
      </c>
      <c r="L11" s="1" t="s">
        <v>475</v>
      </c>
      <c r="M11" s="1" t="s">
        <v>234</v>
      </c>
      <c r="N11" s="1" t="s">
        <v>466</v>
      </c>
      <c r="O11" s="1" t="s">
        <v>44</v>
      </c>
      <c r="P11" s="1" t="s">
        <v>20</v>
      </c>
      <c r="Q11" s="1" t="s">
        <v>466</v>
      </c>
      <c r="R11" s="1" t="s">
        <v>47</v>
      </c>
      <c r="S11" s="1" t="s">
        <v>21</v>
      </c>
      <c r="T11" s="1" t="s">
        <v>43</v>
      </c>
      <c r="U11" s="1" t="s">
        <v>209</v>
      </c>
      <c r="V11" s="1" t="s">
        <v>44</v>
      </c>
      <c r="W11" s="1" t="s">
        <v>377</v>
      </c>
      <c r="X11" s="1" t="s">
        <v>377</v>
      </c>
      <c r="Y11" s="1" t="s">
        <v>394</v>
      </c>
      <c r="Z11" s="1" t="s">
        <v>394</v>
      </c>
      <c r="AA11" s="1" t="s">
        <v>394</v>
      </c>
      <c r="AB11" s="3" t="s">
        <v>394</v>
      </c>
      <c r="AC11" s="1" t="str">
        <f t="shared" si="0"/>
        <v>No</v>
      </c>
      <c r="AD11" s="1" t="s">
        <v>394</v>
      </c>
      <c r="AE11" s="1" t="s">
        <v>394</v>
      </c>
      <c r="AF11" s="1" t="s">
        <v>394</v>
      </c>
      <c r="AG11" s="1" t="s">
        <v>394</v>
      </c>
      <c r="AH11" s="1" t="s">
        <v>394</v>
      </c>
      <c r="AI11" s="1" t="s">
        <v>394</v>
      </c>
      <c r="AJ11" s="1" t="s">
        <v>394</v>
      </c>
      <c r="AK11" s="1" t="s">
        <v>394</v>
      </c>
      <c r="AL11" s="1" t="s">
        <v>394</v>
      </c>
      <c r="AM11" s="1" t="str">
        <f t="shared" si="1"/>
        <v>OK</v>
      </c>
      <c r="AN11" s="1" t="s">
        <v>383</v>
      </c>
      <c r="AO11" s="1" t="s">
        <v>47</v>
      </c>
      <c r="AP11" s="1" t="s">
        <v>394</v>
      </c>
      <c r="AQ11" s="1" t="s">
        <v>394</v>
      </c>
      <c r="AR11" s="1" t="s">
        <v>394</v>
      </c>
      <c r="AS11" s="1" t="s">
        <v>377</v>
      </c>
      <c r="AT11" s="1" t="s">
        <v>377</v>
      </c>
      <c r="AU11" s="1" t="s">
        <v>394</v>
      </c>
      <c r="AV11" s="1" t="s">
        <v>377</v>
      </c>
      <c r="AW11" s="1" t="s">
        <v>394</v>
      </c>
      <c r="AX11" s="1" t="s">
        <v>377</v>
      </c>
      <c r="AY11" s="1" t="s">
        <v>394</v>
      </c>
      <c r="AZ11" s="1" t="s">
        <v>394</v>
      </c>
      <c r="BA11" s="1" t="s">
        <v>394</v>
      </c>
      <c r="BB11" s="1" t="s">
        <v>377</v>
      </c>
      <c r="BC11" s="1" t="s">
        <v>377</v>
      </c>
      <c r="BD11" s="1" t="s">
        <v>377</v>
      </c>
      <c r="BE11" s="1" t="s">
        <v>394</v>
      </c>
      <c r="BF11" s="1" t="s">
        <v>377</v>
      </c>
      <c r="BH11" s="1" t="s">
        <v>785</v>
      </c>
      <c r="BI11" s="1" t="s">
        <v>394</v>
      </c>
      <c r="BJ11" s="1" t="s">
        <v>394</v>
      </c>
      <c r="BK11" s="1" t="s">
        <v>394</v>
      </c>
    </row>
    <row r="12" spans="1:63" x14ac:dyDescent="0.25">
      <c r="A12" s="1">
        <v>11</v>
      </c>
      <c r="B12" s="1" t="s">
        <v>85</v>
      </c>
      <c r="C12" s="1" t="s">
        <v>237</v>
      </c>
      <c r="D12" s="1" t="s">
        <v>238</v>
      </c>
      <c r="E12" s="1" t="s">
        <v>8</v>
      </c>
      <c r="F12" s="1" t="s">
        <v>239</v>
      </c>
      <c r="G12" s="1" t="s">
        <v>56</v>
      </c>
      <c r="H12" s="1">
        <v>2021</v>
      </c>
      <c r="I12" s="1" t="s">
        <v>212</v>
      </c>
      <c r="J12" s="1" t="s">
        <v>51</v>
      </c>
      <c r="K12" s="1">
        <v>142</v>
      </c>
      <c r="L12" s="1" t="s">
        <v>475</v>
      </c>
      <c r="M12" s="1" t="s">
        <v>744</v>
      </c>
      <c r="N12" s="1" t="s">
        <v>466</v>
      </c>
      <c r="O12" s="1" t="s">
        <v>44</v>
      </c>
      <c r="P12" s="1" t="s">
        <v>20</v>
      </c>
      <c r="Q12" s="1" t="s">
        <v>466</v>
      </c>
      <c r="R12" s="1" t="s">
        <v>47</v>
      </c>
      <c r="S12" s="1" t="s">
        <v>21</v>
      </c>
      <c r="T12" s="1" t="s">
        <v>43</v>
      </c>
      <c r="U12" s="1" t="s">
        <v>209</v>
      </c>
      <c r="V12" s="1" t="s">
        <v>44</v>
      </c>
      <c r="W12" s="1" t="s">
        <v>377</v>
      </c>
      <c r="X12" s="1" t="s">
        <v>394</v>
      </c>
      <c r="Y12" s="1" t="s">
        <v>394</v>
      </c>
      <c r="Z12" s="1" t="s">
        <v>377</v>
      </c>
      <c r="AA12" s="1" t="s">
        <v>394</v>
      </c>
      <c r="AB12" s="3" t="s">
        <v>394</v>
      </c>
      <c r="AC12" s="1" t="str">
        <f t="shared" si="0"/>
        <v>Yes</v>
      </c>
      <c r="AD12" s="1" t="s">
        <v>394</v>
      </c>
      <c r="AE12" s="1" t="s">
        <v>394</v>
      </c>
      <c r="AF12" s="1" t="s">
        <v>394</v>
      </c>
      <c r="AG12" s="1" t="s">
        <v>394</v>
      </c>
      <c r="AH12" s="1" t="s">
        <v>394</v>
      </c>
      <c r="AI12" s="1" t="s">
        <v>394</v>
      </c>
      <c r="AJ12" s="1" t="s">
        <v>394</v>
      </c>
      <c r="AK12" s="1" t="s">
        <v>394</v>
      </c>
      <c r="AL12" s="1" t="s">
        <v>394</v>
      </c>
      <c r="AM12" s="1" t="str">
        <f t="shared" si="1"/>
        <v>OK</v>
      </c>
      <c r="AN12" s="1" t="s">
        <v>383</v>
      </c>
      <c r="AO12" s="1" t="s">
        <v>384</v>
      </c>
      <c r="AP12" s="1" t="s">
        <v>394</v>
      </c>
      <c r="AQ12" s="1" t="s">
        <v>394</v>
      </c>
      <c r="AR12" s="1" t="s">
        <v>394</v>
      </c>
      <c r="AS12" s="1" t="s">
        <v>377</v>
      </c>
      <c r="AT12" s="1" t="s">
        <v>377</v>
      </c>
      <c r="AU12" s="1" t="s">
        <v>394</v>
      </c>
      <c r="AV12" s="1" t="s">
        <v>377</v>
      </c>
      <c r="AW12" s="1" t="s">
        <v>394</v>
      </c>
      <c r="AX12" s="1" t="s">
        <v>377</v>
      </c>
      <c r="AY12" s="1" t="s">
        <v>394</v>
      </c>
      <c r="AZ12" s="1" t="s">
        <v>394</v>
      </c>
      <c r="BA12" s="1" t="s">
        <v>377</v>
      </c>
      <c r="BB12" s="1" t="s">
        <v>377</v>
      </c>
      <c r="BC12" s="1" t="s">
        <v>377</v>
      </c>
      <c r="BD12" s="1" t="s">
        <v>377</v>
      </c>
      <c r="BE12" s="1" t="s">
        <v>377</v>
      </c>
      <c r="BF12" s="1" t="s">
        <v>394</v>
      </c>
      <c r="BH12" s="1" t="s">
        <v>785</v>
      </c>
      <c r="BI12" s="1" t="s">
        <v>394</v>
      </c>
      <c r="BJ12" s="1" t="s">
        <v>394</v>
      </c>
      <c r="BK12" s="1" t="s">
        <v>394</v>
      </c>
    </row>
    <row r="13" spans="1:63" x14ac:dyDescent="0.25">
      <c r="A13" s="1">
        <v>12</v>
      </c>
      <c r="B13" s="1" t="s">
        <v>86</v>
      </c>
      <c r="C13" s="1" t="s">
        <v>245</v>
      </c>
      <c r="D13" s="1" t="s">
        <v>248</v>
      </c>
      <c r="E13" s="1" t="s">
        <v>8</v>
      </c>
      <c r="F13" s="1" t="s">
        <v>243</v>
      </c>
      <c r="G13" s="1" t="s">
        <v>395</v>
      </c>
      <c r="H13" s="1">
        <v>2021</v>
      </c>
      <c r="I13" s="1" t="s">
        <v>242</v>
      </c>
      <c r="J13" s="1" t="s">
        <v>51</v>
      </c>
      <c r="K13" s="1">
        <v>283</v>
      </c>
      <c r="L13" s="1" t="s">
        <v>244</v>
      </c>
      <c r="M13" s="1" t="s">
        <v>240</v>
      </c>
      <c r="N13" s="1" t="s">
        <v>241</v>
      </c>
      <c r="O13" s="1" t="s">
        <v>44</v>
      </c>
      <c r="P13" s="1" t="s">
        <v>230</v>
      </c>
      <c r="Q13" s="1" t="s">
        <v>20</v>
      </c>
      <c r="R13" s="1" t="s">
        <v>47</v>
      </c>
      <c r="S13" s="1" t="s">
        <v>21</v>
      </c>
      <c r="T13" s="1" t="s">
        <v>43</v>
      </c>
      <c r="U13" s="1" t="s">
        <v>41</v>
      </c>
      <c r="V13" s="1" t="s">
        <v>44</v>
      </c>
      <c r="W13" s="1" t="s">
        <v>377</v>
      </c>
      <c r="X13" s="1" t="s">
        <v>377</v>
      </c>
      <c r="Y13" s="1" t="s">
        <v>394</v>
      </c>
      <c r="Z13" s="1" t="s">
        <v>394</v>
      </c>
      <c r="AA13" s="1" t="s">
        <v>394</v>
      </c>
      <c r="AB13" s="3" t="s">
        <v>394</v>
      </c>
      <c r="AC13" s="1" t="str">
        <f t="shared" si="0"/>
        <v>No</v>
      </c>
      <c r="AD13" s="1" t="s">
        <v>394</v>
      </c>
      <c r="AE13" s="1" t="s">
        <v>394</v>
      </c>
      <c r="AF13" s="1" t="s">
        <v>394</v>
      </c>
      <c r="AG13" s="1" t="s">
        <v>394</v>
      </c>
      <c r="AH13" s="1" t="s">
        <v>394</v>
      </c>
      <c r="AI13" s="1" t="s">
        <v>394</v>
      </c>
      <c r="AJ13" s="1" t="s">
        <v>394</v>
      </c>
      <c r="AK13" s="1" t="s">
        <v>394</v>
      </c>
      <c r="AL13" s="1" t="s">
        <v>394</v>
      </c>
      <c r="AM13" s="1" t="str">
        <f t="shared" si="1"/>
        <v>OK</v>
      </c>
      <c r="AN13" s="1" t="s">
        <v>383</v>
      </c>
      <c r="AO13" s="1" t="s">
        <v>396</v>
      </c>
      <c r="AP13" s="1" t="s">
        <v>394</v>
      </c>
      <c r="AQ13" s="1" t="s">
        <v>394</v>
      </c>
      <c r="AR13" s="1" t="s">
        <v>394</v>
      </c>
      <c r="AS13" s="1" t="s">
        <v>377</v>
      </c>
      <c r="AT13" s="1" t="s">
        <v>377</v>
      </c>
      <c r="AU13" s="1" t="s">
        <v>394</v>
      </c>
      <c r="AV13" s="1" t="s">
        <v>377</v>
      </c>
      <c r="AW13" s="1" t="s">
        <v>394</v>
      </c>
      <c r="AX13" s="1" t="s">
        <v>377</v>
      </c>
      <c r="AY13" s="1" t="s">
        <v>394</v>
      </c>
      <c r="AZ13" s="1" t="s">
        <v>394</v>
      </c>
      <c r="BA13" s="1" t="s">
        <v>394</v>
      </c>
      <c r="BB13" s="1" t="s">
        <v>377</v>
      </c>
      <c r="BC13" s="1" t="s">
        <v>377</v>
      </c>
      <c r="BD13" s="1" t="s">
        <v>377</v>
      </c>
      <c r="BE13" s="1" t="s">
        <v>378</v>
      </c>
      <c r="BF13" s="1" t="s">
        <v>377</v>
      </c>
      <c r="BH13" s="1" t="s">
        <v>785</v>
      </c>
      <c r="BI13" s="1" t="s">
        <v>394</v>
      </c>
      <c r="BJ13" s="1" t="s">
        <v>394</v>
      </c>
      <c r="BK13" s="1" t="s">
        <v>394</v>
      </c>
    </row>
    <row r="14" spans="1:63" x14ac:dyDescent="0.25">
      <c r="A14" s="1">
        <v>13</v>
      </c>
      <c r="B14" s="1" t="s">
        <v>87</v>
      </c>
      <c r="C14" s="1" t="s">
        <v>247</v>
      </c>
      <c r="D14" s="1" t="s">
        <v>44</v>
      </c>
      <c r="E14" s="1" t="s">
        <v>8</v>
      </c>
      <c r="F14" s="1" t="s">
        <v>246</v>
      </c>
      <c r="G14" s="1" t="s">
        <v>56</v>
      </c>
      <c r="H14" s="1">
        <v>2018</v>
      </c>
      <c r="I14" s="1" t="s">
        <v>212</v>
      </c>
      <c r="J14" s="1" t="s">
        <v>51</v>
      </c>
      <c r="K14" s="1">
        <v>24</v>
      </c>
      <c r="L14" s="1" t="s">
        <v>249</v>
      </c>
      <c r="M14" s="1" t="s">
        <v>47</v>
      </c>
      <c r="N14" s="1" t="s">
        <v>466</v>
      </c>
      <c r="O14" s="1" t="s">
        <v>44</v>
      </c>
      <c r="P14" s="1" t="s">
        <v>20</v>
      </c>
      <c r="Q14" s="1" t="s">
        <v>466</v>
      </c>
      <c r="R14" s="1" t="s">
        <v>47</v>
      </c>
      <c r="S14" s="1" t="s">
        <v>21</v>
      </c>
      <c r="T14" s="1" t="s">
        <v>43</v>
      </c>
      <c r="U14" s="1" t="s">
        <v>798</v>
      </c>
      <c r="V14" s="1" t="s">
        <v>44</v>
      </c>
      <c r="W14" s="1" t="s">
        <v>377</v>
      </c>
      <c r="X14" s="1" t="s">
        <v>394</v>
      </c>
      <c r="Y14" s="1" t="s">
        <v>394</v>
      </c>
      <c r="Z14" s="1" t="s">
        <v>394</v>
      </c>
      <c r="AA14" s="1" t="s">
        <v>394</v>
      </c>
      <c r="AB14" s="3" t="s">
        <v>394</v>
      </c>
      <c r="AC14" s="1" t="str">
        <f t="shared" si="0"/>
        <v>No</v>
      </c>
      <c r="AD14" s="1" t="s">
        <v>394</v>
      </c>
      <c r="AE14" s="1" t="s">
        <v>394</v>
      </c>
      <c r="AF14" s="1" t="s">
        <v>394</v>
      </c>
      <c r="AG14" s="1" t="s">
        <v>394</v>
      </c>
      <c r="AH14" s="1" t="s">
        <v>394</v>
      </c>
      <c r="AI14" s="1" t="s">
        <v>394</v>
      </c>
      <c r="AJ14" s="1" t="s">
        <v>394</v>
      </c>
      <c r="AK14" s="1" t="s">
        <v>394</v>
      </c>
      <c r="AL14" s="1" t="s">
        <v>394</v>
      </c>
      <c r="AM14" s="1" t="str">
        <f t="shared" si="1"/>
        <v>OK</v>
      </c>
      <c r="AN14" s="1" t="s">
        <v>383</v>
      </c>
      <c r="AO14" s="1" t="s">
        <v>396</v>
      </c>
      <c r="AP14" s="1" t="s">
        <v>394</v>
      </c>
      <c r="AQ14" s="1" t="s">
        <v>394</v>
      </c>
      <c r="AR14" s="1" t="s">
        <v>394</v>
      </c>
      <c r="AS14" s="1" t="s">
        <v>377</v>
      </c>
      <c r="AT14" s="1" t="s">
        <v>377</v>
      </c>
      <c r="AU14" s="1" t="s">
        <v>394</v>
      </c>
      <c r="AV14" s="1" t="s">
        <v>377</v>
      </c>
      <c r="AW14" s="1" t="s">
        <v>394</v>
      </c>
      <c r="AX14" s="1" t="s">
        <v>377</v>
      </c>
      <c r="AY14" s="1" t="s">
        <v>394</v>
      </c>
      <c r="AZ14" s="1" t="s">
        <v>394</v>
      </c>
      <c r="BA14" s="1" t="s">
        <v>394</v>
      </c>
      <c r="BB14" s="1" t="s">
        <v>377</v>
      </c>
      <c r="BC14" s="1" t="s">
        <v>394</v>
      </c>
      <c r="BD14" s="1" t="s">
        <v>394</v>
      </c>
      <c r="BE14" s="1" t="s">
        <v>394</v>
      </c>
      <c r="BF14" s="1" t="s">
        <v>394</v>
      </c>
      <c r="BH14" s="1" t="s">
        <v>785</v>
      </c>
      <c r="BI14" s="1" t="s">
        <v>394</v>
      </c>
      <c r="BJ14" s="1" t="s">
        <v>394</v>
      </c>
      <c r="BK14" s="1" t="s">
        <v>394</v>
      </c>
    </row>
    <row r="15" spans="1:63" x14ac:dyDescent="0.25">
      <c r="A15" s="1">
        <v>14</v>
      </c>
      <c r="B15" s="1" t="s">
        <v>88</v>
      </c>
      <c r="C15" s="1" t="s">
        <v>251</v>
      </c>
      <c r="D15" s="1" t="s">
        <v>44</v>
      </c>
      <c r="E15" s="1" t="s">
        <v>8</v>
      </c>
      <c r="F15" s="1" t="s">
        <v>250</v>
      </c>
      <c r="G15" s="1" t="s">
        <v>745</v>
      </c>
      <c r="H15" s="1">
        <v>2020</v>
      </c>
      <c r="I15" s="1" t="s">
        <v>212</v>
      </c>
      <c r="J15" s="1" t="s">
        <v>51</v>
      </c>
      <c r="K15" s="1">
        <v>80</v>
      </c>
      <c r="L15" s="1" t="s">
        <v>475</v>
      </c>
      <c r="M15" s="1" t="s">
        <v>47</v>
      </c>
      <c r="N15" s="1" t="s">
        <v>466</v>
      </c>
      <c r="O15" s="1" t="s">
        <v>44</v>
      </c>
      <c r="P15" s="1" t="s">
        <v>20</v>
      </c>
      <c r="Q15" s="1" t="s">
        <v>466</v>
      </c>
      <c r="R15" s="1" t="s">
        <v>47</v>
      </c>
      <c r="S15" s="1" t="s">
        <v>21</v>
      </c>
      <c r="T15" s="1" t="s">
        <v>8</v>
      </c>
      <c r="U15" s="1" t="s">
        <v>799</v>
      </c>
      <c r="V15" s="1" t="s">
        <v>44</v>
      </c>
      <c r="W15" s="1" t="s">
        <v>394</v>
      </c>
      <c r="X15" s="1" t="s">
        <v>394</v>
      </c>
      <c r="Y15" s="1" t="s">
        <v>377</v>
      </c>
      <c r="Z15" s="1" t="s">
        <v>394</v>
      </c>
      <c r="AA15" s="1" t="s">
        <v>394</v>
      </c>
      <c r="AB15" s="3" t="s">
        <v>394</v>
      </c>
      <c r="AC15" s="1" t="str">
        <f t="shared" si="0"/>
        <v>No</v>
      </c>
      <c r="AD15" s="1" t="s">
        <v>394</v>
      </c>
      <c r="AE15" s="1" t="s">
        <v>394</v>
      </c>
      <c r="AF15" s="1" t="s">
        <v>394</v>
      </c>
      <c r="AG15" s="1" t="s">
        <v>394</v>
      </c>
      <c r="AH15" s="1" t="s">
        <v>394</v>
      </c>
      <c r="AI15" s="1" t="s">
        <v>394</v>
      </c>
      <c r="AJ15" s="1" t="s">
        <v>394</v>
      </c>
      <c r="AK15" s="1" t="s">
        <v>394</v>
      </c>
      <c r="AL15" s="1" t="s">
        <v>394</v>
      </c>
      <c r="AM15" s="1" t="str">
        <f t="shared" si="1"/>
        <v>OK</v>
      </c>
      <c r="AN15" s="1" t="s">
        <v>383</v>
      </c>
      <c r="AO15" s="1" t="s">
        <v>746</v>
      </c>
      <c r="AP15" s="1" t="s">
        <v>394</v>
      </c>
      <c r="AQ15" s="1" t="s">
        <v>394</v>
      </c>
      <c r="AR15" s="1" t="s">
        <v>394</v>
      </c>
      <c r="AS15" s="1" t="s">
        <v>377</v>
      </c>
      <c r="AT15" s="1" t="s">
        <v>377</v>
      </c>
      <c r="AU15" s="1" t="s">
        <v>394</v>
      </c>
      <c r="AV15" s="1" t="s">
        <v>377</v>
      </c>
      <c r="AW15" s="1" t="s">
        <v>394</v>
      </c>
      <c r="AX15" s="1" t="s">
        <v>378</v>
      </c>
      <c r="AY15" s="1" t="s">
        <v>394</v>
      </c>
      <c r="AZ15" s="1" t="s">
        <v>394</v>
      </c>
      <c r="BA15" s="1" t="s">
        <v>394</v>
      </c>
      <c r="BB15" s="1" t="s">
        <v>377</v>
      </c>
      <c r="BC15" s="1" t="s">
        <v>394</v>
      </c>
      <c r="BD15" s="1" t="s">
        <v>394</v>
      </c>
      <c r="BE15" s="1" t="s">
        <v>825</v>
      </c>
      <c r="BF15" s="1" t="s">
        <v>394</v>
      </c>
      <c r="BH15" s="1" t="s">
        <v>785</v>
      </c>
      <c r="BI15" s="1" t="s">
        <v>394</v>
      </c>
      <c r="BJ15" s="1" t="s">
        <v>394</v>
      </c>
      <c r="BK15" s="1" t="s">
        <v>394</v>
      </c>
    </row>
    <row r="16" spans="1:63" x14ac:dyDescent="0.25">
      <c r="A16" s="1">
        <v>15</v>
      </c>
      <c r="B16" s="1" t="s">
        <v>89</v>
      </c>
      <c r="C16" s="1" t="s">
        <v>255</v>
      </c>
      <c r="D16" s="1" t="s">
        <v>44</v>
      </c>
      <c r="E16" s="1" t="s">
        <v>8</v>
      </c>
      <c r="F16" s="1" t="s">
        <v>254</v>
      </c>
      <c r="G16" s="1" t="s">
        <v>762</v>
      </c>
      <c r="H16" s="1">
        <v>2015</v>
      </c>
      <c r="I16" s="1" t="s">
        <v>30</v>
      </c>
      <c r="J16" s="1" t="s">
        <v>51</v>
      </c>
      <c r="K16" s="1">
        <v>264</v>
      </c>
      <c r="L16" s="1" t="s">
        <v>253</v>
      </c>
      <c r="M16" s="1" t="s">
        <v>47</v>
      </c>
      <c r="N16" s="1" t="s">
        <v>252</v>
      </c>
      <c r="O16" s="1" t="s">
        <v>44</v>
      </c>
      <c r="P16" s="1" t="s">
        <v>20</v>
      </c>
      <c r="Q16" s="1" t="s">
        <v>22</v>
      </c>
      <c r="R16" s="1" t="s">
        <v>47</v>
      </c>
      <c r="S16" s="1" t="s">
        <v>21</v>
      </c>
      <c r="T16" s="1" t="s">
        <v>43</v>
      </c>
      <c r="U16" s="1" t="s">
        <v>41</v>
      </c>
      <c r="V16" s="1" t="s">
        <v>44</v>
      </c>
      <c r="W16" s="1" t="s">
        <v>394</v>
      </c>
      <c r="X16" s="1" t="s">
        <v>377</v>
      </c>
      <c r="Y16" s="1" t="s">
        <v>394</v>
      </c>
      <c r="Z16" s="1" t="s">
        <v>394</v>
      </c>
      <c r="AA16" s="1" t="s">
        <v>394</v>
      </c>
      <c r="AB16" s="3" t="s">
        <v>394</v>
      </c>
      <c r="AC16" s="1" t="str">
        <f t="shared" si="0"/>
        <v>No</v>
      </c>
      <c r="AD16" s="1" t="s">
        <v>394</v>
      </c>
      <c r="AE16" s="1" t="s">
        <v>394</v>
      </c>
      <c r="AF16" s="1" t="s">
        <v>394</v>
      </c>
      <c r="AG16" s="1" t="s">
        <v>394</v>
      </c>
      <c r="AH16" s="1" t="s">
        <v>394</v>
      </c>
      <c r="AI16" s="1" t="s">
        <v>394</v>
      </c>
      <c r="AJ16" s="1" t="s">
        <v>394</v>
      </c>
      <c r="AK16" s="1" t="s">
        <v>394</v>
      </c>
      <c r="AL16" s="1" t="s">
        <v>394</v>
      </c>
      <c r="AM16" s="1" t="str">
        <f t="shared" si="1"/>
        <v>OK</v>
      </c>
      <c r="AN16" s="1" t="s">
        <v>383</v>
      </c>
      <c r="AO16" s="1" t="s">
        <v>47</v>
      </c>
      <c r="AP16" s="1" t="s">
        <v>394</v>
      </c>
      <c r="AQ16" s="1" t="s">
        <v>394</v>
      </c>
      <c r="AR16" s="1" t="s">
        <v>394</v>
      </c>
      <c r="AS16" s="1" t="s">
        <v>377</v>
      </c>
      <c r="AT16" s="1" t="s">
        <v>377</v>
      </c>
      <c r="AU16" s="1" t="s">
        <v>394</v>
      </c>
      <c r="AV16" s="1" t="s">
        <v>377</v>
      </c>
      <c r="AW16" s="1" t="s">
        <v>394</v>
      </c>
      <c r="AX16" s="1" t="s">
        <v>377</v>
      </c>
      <c r="AY16" s="1" t="s">
        <v>394</v>
      </c>
      <c r="AZ16" s="1" t="s">
        <v>394</v>
      </c>
      <c r="BA16" s="1" t="s">
        <v>394</v>
      </c>
      <c r="BB16" s="1" t="s">
        <v>377</v>
      </c>
      <c r="BC16" s="1" t="s">
        <v>394</v>
      </c>
      <c r="BD16" s="1" t="s">
        <v>394</v>
      </c>
      <c r="BE16" s="1" t="s">
        <v>377</v>
      </c>
      <c r="BF16" s="1" t="s">
        <v>377</v>
      </c>
      <c r="BH16" s="1" t="s">
        <v>785</v>
      </c>
      <c r="BI16" s="1" t="s">
        <v>394</v>
      </c>
      <c r="BJ16" s="1" t="s">
        <v>394</v>
      </c>
      <c r="BK16" s="1" t="s">
        <v>394</v>
      </c>
    </row>
    <row r="17" spans="1:63" x14ac:dyDescent="0.25">
      <c r="A17" s="1">
        <v>16</v>
      </c>
      <c r="B17" s="1" t="s">
        <v>90</v>
      </c>
      <c r="C17" s="1" t="s">
        <v>256</v>
      </c>
      <c r="D17" s="1" t="s">
        <v>44</v>
      </c>
      <c r="E17" s="1" t="s">
        <v>8</v>
      </c>
      <c r="F17" s="1" t="s">
        <v>257</v>
      </c>
      <c r="G17" s="1" t="s">
        <v>56</v>
      </c>
      <c r="H17" s="1">
        <v>2020</v>
      </c>
      <c r="I17" s="1" t="s">
        <v>34</v>
      </c>
      <c r="J17" s="1" t="s">
        <v>51</v>
      </c>
      <c r="K17" s="1">
        <v>458</v>
      </c>
      <c r="L17" s="1" t="s">
        <v>475</v>
      </c>
      <c r="M17" s="1" t="s">
        <v>397</v>
      </c>
      <c r="N17" s="1" t="s">
        <v>466</v>
      </c>
      <c r="O17" s="1" t="s">
        <v>44</v>
      </c>
      <c r="P17" s="1" t="s">
        <v>20</v>
      </c>
      <c r="Q17" s="1" t="s">
        <v>466</v>
      </c>
      <c r="R17" s="1" t="s">
        <v>258</v>
      </c>
      <c r="S17" s="1" t="s">
        <v>21</v>
      </c>
      <c r="T17" s="1" t="s">
        <v>43</v>
      </c>
      <c r="U17" s="1" t="s">
        <v>209</v>
      </c>
      <c r="V17" s="1" t="s">
        <v>44</v>
      </c>
      <c r="W17" s="1" t="s">
        <v>377</v>
      </c>
      <c r="X17" s="1" t="s">
        <v>394</v>
      </c>
      <c r="Y17" s="1" t="s">
        <v>394</v>
      </c>
      <c r="Z17" s="1" t="s">
        <v>377</v>
      </c>
      <c r="AA17" s="1" t="s">
        <v>394</v>
      </c>
      <c r="AB17" s="3" t="s">
        <v>394</v>
      </c>
      <c r="AC17" s="1" t="str">
        <f t="shared" si="0"/>
        <v>Yes</v>
      </c>
      <c r="AD17" s="1" t="s">
        <v>394</v>
      </c>
      <c r="AE17" s="1" t="s">
        <v>394</v>
      </c>
      <c r="AF17" s="1" t="s">
        <v>394</v>
      </c>
      <c r="AG17" s="1" t="s">
        <v>394</v>
      </c>
      <c r="AH17" s="1" t="s">
        <v>394</v>
      </c>
      <c r="AI17" s="1" t="s">
        <v>394</v>
      </c>
      <c r="AJ17" s="1" t="s">
        <v>394</v>
      </c>
      <c r="AK17" s="1" t="s">
        <v>394</v>
      </c>
      <c r="AL17" s="1" t="s">
        <v>394</v>
      </c>
      <c r="AM17" s="1" t="str">
        <f t="shared" si="1"/>
        <v>OK</v>
      </c>
      <c r="AN17" s="1" t="s">
        <v>383</v>
      </c>
      <c r="AO17" s="1" t="s">
        <v>384</v>
      </c>
      <c r="AP17" s="1" t="s">
        <v>394</v>
      </c>
      <c r="AQ17" s="1" t="s">
        <v>394</v>
      </c>
      <c r="AR17" s="1" t="s">
        <v>394</v>
      </c>
      <c r="AS17" s="1" t="s">
        <v>377</v>
      </c>
      <c r="AT17" s="1" t="s">
        <v>377</v>
      </c>
      <c r="AU17" s="1" t="s">
        <v>377</v>
      </c>
      <c r="AV17" s="1" t="s">
        <v>377</v>
      </c>
      <c r="AW17" s="1" t="s">
        <v>394</v>
      </c>
      <c r="AX17" s="1" t="s">
        <v>377</v>
      </c>
      <c r="AY17" s="1" t="s">
        <v>394</v>
      </c>
      <c r="AZ17" s="1" t="s">
        <v>394</v>
      </c>
      <c r="BA17" s="1" t="s">
        <v>394</v>
      </c>
      <c r="BB17" s="1" t="s">
        <v>377</v>
      </c>
      <c r="BC17" s="1" t="s">
        <v>394</v>
      </c>
      <c r="BD17" s="1" t="s">
        <v>377</v>
      </c>
      <c r="BE17" s="1" t="s">
        <v>394</v>
      </c>
      <c r="BF17" s="1" t="s">
        <v>394</v>
      </c>
      <c r="BH17" s="1" t="s">
        <v>785</v>
      </c>
      <c r="BI17" s="1" t="s">
        <v>394</v>
      </c>
      <c r="BJ17" s="1" t="s">
        <v>394</v>
      </c>
      <c r="BK17" s="1" t="s">
        <v>394</v>
      </c>
    </row>
    <row r="18" spans="1:63" x14ac:dyDescent="0.25">
      <c r="A18" s="1">
        <v>17</v>
      </c>
      <c r="B18" s="1" t="s">
        <v>91</v>
      </c>
      <c r="C18" s="1" t="s">
        <v>260</v>
      </c>
      <c r="D18" s="1" t="s">
        <v>261</v>
      </c>
      <c r="E18" s="1" t="s">
        <v>8</v>
      </c>
      <c r="F18" s="1" t="s">
        <v>259</v>
      </c>
      <c r="G18" s="1" t="s">
        <v>56</v>
      </c>
      <c r="H18" s="1">
        <v>2016</v>
      </c>
      <c r="I18" s="1" t="s">
        <v>212</v>
      </c>
      <c r="J18" s="1" t="s">
        <v>51</v>
      </c>
      <c r="K18" s="1">
        <v>1155</v>
      </c>
      <c r="L18" s="1" t="s">
        <v>475</v>
      </c>
      <c r="M18" s="1" t="s">
        <v>47</v>
      </c>
      <c r="N18" s="1" t="s">
        <v>466</v>
      </c>
      <c r="O18" s="1" t="s">
        <v>44</v>
      </c>
      <c r="P18" s="1" t="s">
        <v>20</v>
      </c>
      <c r="Q18" s="1" t="s">
        <v>466</v>
      </c>
      <c r="R18" s="1" t="s">
        <v>47</v>
      </c>
      <c r="S18" s="1" t="s">
        <v>21</v>
      </c>
      <c r="T18" s="1" t="s">
        <v>8</v>
      </c>
      <c r="U18" s="1" t="s">
        <v>799</v>
      </c>
      <c r="V18" s="1" t="s">
        <v>44</v>
      </c>
      <c r="W18" s="1" t="s">
        <v>394</v>
      </c>
      <c r="X18" s="1" t="s">
        <v>394</v>
      </c>
      <c r="Y18" s="1" t="s">
        <v>394</v>
      </c>
      <c r="Z18" s="1" t="s">
        <v>394</v>
      </c>
      <c r="AA18" s="1" t="s">
        <v>394</v>
      </c>
      <c r="AB18" s="3" t="s">
        <v>394</v>
      </c>
      <c r="AC18" s="1" t="str">
        <f t="shared" si="0"/>
        <v>No</v>
      </c>
      <c r="AD18" s="1" t="s">
        <v>394</v>
      </c>
      <c r="AE18" s="1" t="s">
        <v>394</v>
      </c>
      <c r="AF18" s="1" t="s">
        <v>394</v>
      </c>
      <c r="AG18" s="1" t="s">
        <v>394</v>
      </c>
      <c r="AH18" s="1" t="s">
        <v>394</v>
      </c>
      <c r="AI18" s="1" t="s">
        <v>377</v>
      </c>
      <c r="AJ18" s="1" t="s">
        <v>394</v>
      </c>
      <c r="AK18" s="1" t="s">
        <v>377</v>
      </c>
      <c r="AL18" s="1" t="s">
        <v>394</v>
      </c>
      <c r="AM18" s="1" t="str">
        <f t="shared" si="1"/>
        <v>OK</v>
      </c>
      <c r="AN18" s="1" t="s">
        <v>383</v>
      </c>
      <c r="AO18" s="1" t="s">
        <v>47</v>
      </c>
      <c r="AP18" s="1" t="s">
        <v>394</v>
      </c>
      <c r="AQ18" s="1" t="s">
        <v>394</v>
      </c>
      <c r="AR18" s="1" t="s">
        <v>394</v>
      </c>
      <c r="AS18" s="1" t="s">
        <v>377</v>
      </c>
      <c r="AT18" s="1" t="s">
        <v>377</v>
      </c>
      <c r="AU18" s="1" t="s">
        <v>394</v>
      </c>
      <c r="AV18" s="1" t="s">
        <v>378</v>
      </c>
      <c r="AW18" s="1" t="s">
        <v>394</v>
      </c>
      <c r="AX18" s="1" t="s">
        <v>394</v>
      </c>
      <c r="AY18" s="1" t="s">
        <v>394</v>
      </c>
      <c r="AZ18" s="1" t="s">
        <v>377</v>
      </c>
      <c r="BA18" s="1" t="s">
        <v>825</v>
      </c>
      <c r="BB18" s="1" t="s">
        <v>377</v>
      </c>
      <c r="BC18" s="1" t="s">
        <v>394</v>
      </c>
      <c r="BD18" s="1" t="s">
        <v>394</v>
      </c>
      <c r="BE18" s="1" t="s">
        <v>825</v>
      </c>
      <c r="BF18" s="1" t="s">
        <v>377</v>
      </c>
      <c r="BH18" s="1" t="s">
        <v>785</v>
      </c>
      <c r="BI18" s="1" t="s">
        <v>394</v>
      </c>
      <c r="BJ18" s="1" t="s">
        <v>394</v>
      </c>
      <c r="BK18" s="1" t="s">
        <v>394</v>
      </c>
    </row>
    <row r="19" spans="1:63" x14ac:dyDescent="0.25">
      <c r="A19" s="1">
        <v>18</v>
      </c>
      <c r="B19" s="1" t="s">
        <v>92</v>
      </c>
      <c r="C19" s="1" t="s">
        <v>263</v>
      </c>
      <c r="D19" s="1" t="s">
        <v>44</v>
      </c>
      <c r="E19" s="1" t="s">
        <v>8</v>
      </c>
      <c r="F19" s="1" t="s">
        <v>262</v>
      </c>
      <c r="G19" s="1" t="s">
        <v>781</v>
      </c>
      <c r="H19" s="1">
        <v>2023</v>
      </c>
      <c r="I19" s="1" t="s">
        <v>242</v>
      </c>
      <c r="J19" s="1" t="s">
        <v>51</v>
      </c>
      <c r="K19" s="1">
        <v>60</v>
      </c>
      <c r="L19" s="1" t="s">
        <v>475</v>
      </c>
      <c r="M19" s="1" t="s">
        <v>47</v>
      </c>
      <c r="N19" s="1" t="s">
        <v>466</v>
      </c>
      <c r="O19" s="1" t="s">
        <v>44</v>
      </c>
      <c r="P19" s="1" t="s">
        <v>20</v>
      </c>
      <c r="Q19" s="1" t="s">
        <v>466</v>
      </c>
      <c r="R19" s="1" t="s">
        <v>47</v>
      </c>
      <c r="S19" s="1" t="s">
        <v>21</v>
      </c>
      <c r="T19" s="1" t="s">
        <v>43</v>
      </c>
      <c r="U19" s="1" t="s">
        <v>209</v>
      </c>
      <c r="V19" s="1" t="s">
        <v>44</v>
      </c>
      <c r="W19" s="1" t="s">
        <v>377</v>
      </c>
      <c r="X19" s="1" t="s">
        <v>394</v>
      </c>
      <c r="Y19" s="1" t="s">
        <v>394</v>
      </c>
      <c r="Z19" s="1" t="s">
        <v>377</v>
      </c>
      <c r="AA19" s="1" t="s">
        <v>394</v>
      </c>
      <c r="AB19" s="3" t="s">
        <v>394</v>
      </c>
      <c r="AC19" s="1" t="str">
        <f t="shared" si="0"/>
        <v>Yes</v>
      </c>
      <c r="AD19" s="1" t="s">
        <v>394</v>
      </c>
      <c r="AE19" s="1" t="s">
        <v>394</v>
      </c>
      <c r="AF19" s="1" t="s">
        <v>394</v>
      </c>
      <c r="AG19" s="1" t="s">
        <v>394</v>
      </c>
      <c r="AH19" s="1" t="s">
        <v>394</v>
      </c>
      <c r="AI19" s="1" t="s">
        <v>394</v>
      </c>
      <c r="AJ19" s="1" t="s">
        <v>394</v>
      </c>
      <c r="AK19" s="1" t="s">
        <v>394</v>
      </c>
      <c r="AL19" s="1" t="s">
        <v>394</v>
      </c>
      <c r="AM19" s="1" t="str">
        <f t="shared" si="1"/>
        <v>OK</v>
      </c>
      <c r="AN19" s="1" t="s">
        <v>383</v>
      </c>
      <c r="AO19" s="1" t="s">
        <v>384</v>
      </c>
      <c r="AP19" s="1" t="s">
        <v>394</v>
      </c>
      <c r="AQ19" s="1" t="s">
        <v>394</v>
      </c>
      <c r="AR19" s="1" t="s">
        <v>394</v>
      </c>
      <c r="AS19" s="1" t="s">
        <v>377</v>
      </c>
      <c r="AT19" s="1" t="s">
        <v>377</v>
      </c>
      <c r="AU19" s="1" t="s">
        <v>394</v>
      </c>
      <c r="AV19" s="1" t="s">
        <v>377</v>
      </c>
      <c r="AW19" s="1" t="s">
        <v>394</v>
      </c>
      <c r="AX19" s="1" t="s">
        <v>378</v>
      </c>
      <c r="AY19" s="1" t="s">
        <v>394</v>
      </c>
      <c r="AZ19" s="1" t="s">
        <v>394</v>
      </c>
      <c r="BA19" s="1" t="s">
        <v>394</v>
      </c>
      <c r="BB19" s="1" t="s">
        <v>377</v>
      </c>
      <c r="BC19" s="1" t="s">
        <v>377</v>
      </c>
      <c r="BD19" s="1" t="s">
        <v>377</v>
      </c>
      <c r="BE19" s="1" t="s">
        <v>394</v>
      </c>
      <c r="BF19" s="1" t="s">
        <v>394</v>
      </c>
      <c r="BH19" s="1" t="s">
        <v>785</v>
      </c>
      <c r="BI19" s="1" t="s">
        <v>394</v>
      </c>
      <c r="BJ19" s="1" t="s">
        <v>394</v>
      </c>
      <c r="BK19" s="1" t="s">
        <v>394</v>
      </c>
    </row>
    <row r="20" spans="1:63" x14ac:dyDescent="0.25">
      <c r="A20" s="1">
        <v>19</v>
      </c>
      <c r="B20" s="1" t="s">
        <v>33</v>
      </c>
      <c r="C20" s="1" t="s">
        <v>270</v>
      </c>
      <c r="D20" s="1" t="s">
        <v>44</v>
      </c>
      <c r="E20" s="1" t="s">
        <v>8</v>
      </c>
      <c r="F20" s="1" t="s">
        <v>61</v>
      </c>
      <c r="G20" s="1" t="s">
        <v>443</v>
      </c>
      <c r="H20" s="1">
        <v>2022</v>
      </c>
      <c r="I20" s="1" t="s">
        <v>34</v>
      </c>
      <c r="J20" s="1" t="s">
        <v>51</v>
      </c>
      <c r="K20" s="1">
        <v>203</v>
      </c>
      <c r="L20" s="1" t="s">
        <v>475</v>
      </c>
      <c r="M20" s="1" t="s">
        <v>63</v>
      </c>
      <c r="N20" s="1" t="s">
        <v>64</v>
      </c>
      <c r="O20" s="1" t="s">
        <v>44</v>
      </c>
      <c r="P20" s="1" t="s">
        <v>20</v>
      </c>
      <c r="Q20" s="1" t="s">
        <v>20</v>
      </c>
      <c r="R20" s="1" t="s">
        <v>47</v>
      </c>
      <c r="S20" s="1" t="s">
        <v>57</v>
      </c>
      <c r="T20" s="1" t="s">
        <v>43</v>
      </c>
      <c r="U20" s="1" t="s">
        <v>209</v>
      </c>
      <c r="V20" s="1" t="s">
        <v>398</v>
      </c>
      <c r="W20" s="1" t="s">
        <v>377</v>
      </c>
      <c r="X20" s="1" t="s">
        <v>377</v>
      </c>
      <c r="Y20" s="1" t="s">
        <v>394</v>
      </c>
      <c r="Z20" s="1" t="s">
        <v>377</v>
      </c>
      <c r="AA20" s="1" t="s">
        <v>394</v>
      </c>
      <c r="AB20" s="3" t="s">
        <v>394</v>
      </c>
      <c r="AC20" s="1" t="str">
        <f t="shared" si="0"/>
        <v>Yes</v>
      </c>
      <c r="AD20" s="1" t="s">
        <v>394</v>
      </c>
      <c r="AE20" s="1" t="s">
        <v>394</v>
      </c>
      <c r="AF20" s="1" t="s">
        <v>394</v>
      </c>
      <c r="AG20" s="1" t="s">
        <v>394</v>
      </c>
      <c r="AH20" s="1" t="s">
        <v>394</v>
      </c>
      <c r="AI20" s="1" t="s">
        <v>394</v>
      </c>
      <c r="AJ20" s="1" t="s">
        <v>394</v>
      </c>
      <c r="AK20" s="1" t="s">
        <v>394</v>
      </c>
      <c r="AL20" s="1" t="s">
        <v>394</v>
      </c>
      <c r="AM20" s="1" t="str">
        <f t="shared" si="1"/>
        <v>OK</v>
      </c>
      <c r="AN20" s="1" t="s">
        <v>383</v>
      </c>
      <c r="AO20" s="1" t="s">
        <v>384</v>
      </c>
      <c r="AP20" s="1" t="s">
        <v>394</v>
      </c>
      <c r="AQ20" s="1" t="s">
        <v>394</v>
      </c>
      <c r="AR20" s="1" t="s">
        <v>394</v>
      </c>
      <c r="AS20" s="1" t="s">
        <v>377</v>
      </c>
      <c r="AT20" s="1" t="s">
        <v>377</v>
      </c>
      <c r="AU20" s="1" t="s">
        <v>394</v>
      </c>
      <c r="AV20" s="1" t="s">
        <v>377</v>
      </c>
      <c r="AW20" s="1" t="s">
        <v>394</v>
      </c>
      <c r="AX20" s="1" t="s">
        <v>378</v>
      </c>
      <c r="AY20" s="1" t="s">
        <v>394</v>
      </c>
      <c r="AZ20" s="1" t="s">
        <v>394</v>
      </c>
      <c r="BA20" s="1" t="s">
        <v>825</v>
      </c>
      <c r="BB20" s="1" t="s">
        <v>377</v>
      </c>
      <c r="BC20" s="1" t="s">
        <v>377</v>
      </c>
      <c r="BD20" s="1" t="s">
        <v>377</v>
      </c>
      <c r="BE20" s="1" t="s">
        <v>377</v>
      </c>
      <c r="BF20" s="1" t="s">
        <v>377</v>
      </c>
      <c r="BH20" s="1" t="s">
        <v>785</v>
      </c>
      <c r="BI20" s="1" t="s">
        <v>394</v>
      </c>
      <c r="BJ20" s="1" t="s">
        <v>394</v>
      </c>
      <c r="BK20" s="1" t="s">
        <v>394</v>
      </c>
    </row>
    <row r="21" spans="1:63" x14ac:dyDescent="0.25">
      <c r="A21" s="1">
        <v>20</v>
      </c>
      <c r="B21" s="1" t="s">
        <v>35</v>
      </c>
      <c r="C21" s="1" t="s">
        <v>271</v>
      </c>
      <c r="D21" s="1" t="s">
        <v>44</v>
      </c>
      <c r="E21" s="1" t="s">
        <v>8</v>
      </c>
      <c r="F21" s="1" t="s">
        <v>65</v>
      </c>
      <c r="G21" s="1" t="s">
        <v>66</v>
      </c>
      <c r="H21" s="1">
        <v>2019</v>
      </c>
      <c r="I21" s="1" t="s">
        <v>36</v>
      </c>
      <c r="J21" s="1" t="s">
        <v>51</v>
      </c>
      <c r="K21" s="1">
        <v>40308</v>
      </c>
      <c r="L21" s="1" t="s">
        <v>477</v>
      </c>
      <c r="M21" s="1" t="s">
        <v>47</v>
      </c>
      <c r="N21" s="1" t="s">
        <v>466</v>
      </c>
      <c r="O21" s="1" t="s">
        <v>44</v>
      </c>
      <c r="P21" s="1" t="s">
        <v>20</v>
      </c>
      <c r="Q21" s="1" t="s">
        <v>22</v>
      </c>
      <c r="R21" s="1" t="s">
        <v>399</v>
      </c>
      <c r="S21" s="1" t="s">
        <v>21</v>
      </c>
      <c r="T21" s="1" t="s">
        <v>43</v>
      </c>
      <c r="U21" s="1" t="s">
        <v>67</v>
      </c>
      <c r="V21" s="1" t="s">
        <v>44</v>
      </c>
      <c r="W21" s="1" t="s">
        <v>394</v>
      </c>
      <c r="X21" s="1" t="s">
        <v>377</v>
      </c>
      <c r="Y21" s="1" t="s">
        <v>394</v>
      </c>
      <c r="Z21" s="1" t="s">
        <v>394</v>
      </c>
      <c r="AA21" s="1" t="s">
        <v>394</v>
      </c>
      <c r="AB21" s="3" t="s">
        <v>394</v>
      </c>
      <c r="AC21" s="1" t="str">
        <f t="shared" si="0"/>
        <v>No</v>
      </c>
      <c r="AD21" s="1" t="s">
        <v>377</v>
      </c>
      <c r="AE21" s="1" t="s">
        <v>394</v>
      </c>
      <c r="AF21" s="1" t="s">
        <v>394</v>
      </c>
      <c r="AG21" s="1" t="s">
        <v>394</v>
      </c>
      <c r="AH21" s="1" t="s">
        <v>394</v>
      </c>
      <c r="AI21" s="1" t="s">
        <v>394</v>
      </c>
      <c r="AJ21" s="1" t="s">
        <v>394</v>
      </c>
      <c r="AK21" s="1" t="s">
        <v>394</v>
      </c>
      <c r="AL21" s="1" t="s">
        <v>394</v>
      </c>
      <c r="AM21" s="1" t="str">
        <f t="shared" si="1"/>
        <v>OK</v>
      </c>
      <c r="AN21" s="1" t="s">
        <v>383</v>
      </c>
      <c r="AO21" s="1" t="s">
        <v>47</v>
      </c>
      <c r="AP21" s="1" t="s">
        <v>394</v>
      </c>
      <c r="AQ21" s="1" t="s">
        <v>394</v>
      </c>
      <c r="AR21" s="1" t="s">
        <v>394</v>
      </c>
      <c r="AS21" s="1" t="s">
        <v>377</v>
      </c>
      <c r="AT21" s="1" t="s">
        <v>377</v>
      </c>
      <c r="AU21" s="1" t="s">
        <v>394</v>
      </c>
      <c r="AV21" s="1" t="s">
        <v>377</v>
      </c>
      <c r="AW21" s="1" t="s">
        <v>394</v>
      </c>
      <c r="AX21" s="1" t="s">
        <v>377</v>
      </c>
      <c r="AY21" s="1" t="s">
        <v>394</v>
      </c>
      <c r="AZ21" s="1" t="s">
        <v>394</v>
      </c>
      <c r="BA21" s="1" t="s">
        <v>394</v>
      </c>
      <c r="BB21" s="1" t="s">
        <v>377</v>
      </c>
      <c r="BC21" s="1" t="s">
        <v>394</v>
      </c>
      <c r="BD21" s="1" t="s">
        <v>394</v>
      </c>
      <c r="BE21" s="1" t="s">
        <v>377</v>
      </c>
      <c r="BF21" s="1" t="s">
        <v>377</v>
      </c>
      <c r="BH21" s="1" t="s">
        <v>785</v>
      </c>
      <c r="BI21" s="1" t="s">
        <v>394</v>
      </c>
      <c r="BJ21" s="1" t="s">
        <v>377</v>
      </c>
      <c r="BK21" s="1" t="s">
        <v>394</v>
      </c>
    </row>
    <row r="22" spans="1:63" x14ac:dyDescent="0.25">
      <c r="A22" s="1">
        <v>21</v>
      </c>
      <c r="B22" s="1" t="s">
        <v>93</v>
      </c>
      <c r="C22" s="1" t="s">
        <v>265</v>
      </c>
      <c r="D22" s="1" t="s">
        <v>44</v>
      </c>
      <c r="E22" s="1" t="s">
        <v>8</v>
      </c>
      <c r="F22" s="1" t="s">
        <v>264</v>
      </c>
      <c r="G22" s="1" t="s">
        <v>400</v>
      </c>
      <c r="H22" s="1">
        <v>2020</v>
      </c>
      <c r="I22" s="1" t="s">
        <v>34</v>
      </c>
      <c r="J22" s="1" t="s">
        <v>51</v>
      </c>
      <c r="K22" s="1">
        <v>124</v>
      </c>
      <c r="L22" s="1" t="s">
        <v>475</v>
      </c>
      <c r="M22" s="1" t="s">
        <v>47</v>
      </c>
      <c r="N22" s="1" t="s">
        <v>466</v>
      </c>
      <c r="O22" s="1" t="s">
        <v>44</v>
      </c>
      <c r="P22" s="1" t="s">
        <v>20</v>
      </c>
      <c r="Q22" s="1" t="s">
        <v>466</v>
      </c>
      <c r="R22" s="1" t="s">
        <v>47</v>
      </c>
      <c r="S22" s="1" t="s">
        <v>21</v>
      </c>
      <c r="T22" s="1" t="s">
        <v>8</v>
      </c>
      <c r="U22" s="1" t="s">
        <v>62</v>
      </c>
      <c r="V22" s="1" t="s">
        <v>44</v>
      </c>
      <c r="W22" s="1" t="s">
        <v>394</v>
      </c>
      <c r="X22" s="1" t="s">
        <v>394</v>
      </c>
      <c r="Y22" s="1" t="s">
        <v>377</v>
      </c>
      <c r="Z22" s="1" t="s">
        <v>394</v>
      </c>
      <c r="AA22" s="1" t="s">
        <v>394</v>
      </c>
      <c r="AB22" s="3" t="s">
        <v>394</v>
      </c>
      <c r="AC22" s="1" t="str">
        <f t="shared" si="0"/>
        <v>No</v>
      </c>
      <c r="AD22" s="1" t="s">
        <v>394</v>
      </c>
      <c r="AE22" s="1" t="s">
        <v>394</v>
      </c>
      <c r="AF22" s="1" t="s">
        <v>394</v>
      </c>
      <c r="AG22" s="1" t="s">
        <v>394</v>
      </c>
      <c r="AH22" s="1" t="s">
        <v>394</v>
      </c>
      <c r="AI22" s="1" t="s">
        <v>394</v>
      </c>
      <c r="AJ22" s="1" t="s">
        <v>394</v>
      </c>
      <c r="AK22" s="1" t="s">
        <v>394</v>
      </c>
      <c r="AL22" s="1" t="s">
        <v>394</v>
      </c>
      <c r="AM22" s="1" t="str">
        <f t="shared" si="1"/>
        <v>OK</v>
      </c>
      <c r="AN22" s="1" t="s">
        <v>383</v>
      </c>
      <c r="AO22" s="1" t="s">
        <v>384</v>
      </c>
      <c r="AP22" s="1" t="s">
        <v>394</v>
      </c>
      <c r="AQ22" s="1" t="s">
        <v>394</v>
      </c>
      <c r="AR22" s="1" t="s">
        <v>394</v>
      </c>
      <c r="AS22" s="1" t="s">
        <v>377</v>
      </c>
      <c r="AT22" s="1" t="s">
        <v>377</v>
      </c>
      <c r="AU22" s="1" t="s">
        <v>394</v>
      </c>
      <c r="AV22" s="1" t="s">
        <v>377</v>
      </c>
      <c r="AW22" s="1" t="s">
        <v>394</v>
      </c>
      <c r="AX22" s="1" t="s">
        <v>394</v>
      </c>
      <c r="AY22" s="1" t="s">
        <v>394</v>
      </c>
      <c r="AZ22" s="1" t="s">
        <v>394</v>
      </c>
      <c r="BA22" s="1" t="s">
        <v>394</v>
      </c>
      <c r="BB22" s="1" t="s">
        <v>378</v>
      </c>
      <c r="BC22" s="1" t="s">
        <v>394</v>
      </c>
      <c r="BD22" s="1" t="s">
        <v>394</v>
      </c>
      <c r="BE22" s="1" t="s">
        <v>825</v>
      </c>
      <c r="BF22" s="1" t="s">
        <v>394</v>
      </c>
      <c r="BH22" s="1" t="s">
        <v>785</v>
      </c>
      <c r="BI22" s="1" t="s">
        <v>394</v>
      </c>
      <c r="BJ22" s="1" t="s">
        <v>394</v>
      </c>
      <c r="BK22" s="1" t="s">
        <v>394</v>
      </c>
    </row>
    <row r="23" spans="1:63" x14ac:dyDescent="0.25">
      <c r="A23" s="1">
        <v>22</v>
      </c>
      <c r="B23" s="1" t="s">
        <v>31</v>
      </c>
      <c r="C23" s="1" t="s">
        <v>272</v>
      </c>
      <c r="D23" s="1" t="s">
        <v>44</v>
      </c>
      <c r="E23" s="1" t="s">
        <v>8</v>
      </c>
      <c r="F23" s="1" t="s">
        <v>60</v>
      </c>
      <c r="G23" s="1" t="s">
        <v>56</v>
      </c>
      <c r="H23" s="1">
        <v>2023</v>
      </c>
      <c r="I23" s="1" t="s">
        <v>32</v>
      </c>
      <c r="J23" s="1" t="s">
        <v>51</v>
      </c>
      <c r="K23" s="1">
        <v>322</v>
      </c>
      <c r="L23" s="1" t="s">
        <v>58</v>
      </c>
      <c r="M23" s="1" t="s">
        <v>401</v>
      </c>
      <c r="N23" s="1" t="s">
        <v>59</v>
      </c>
      <c r="O23" s="1" t="s">
        <v>44</v>
      </c>
      <c r="P23" s="1" t="s">
        <v>230</v>
      </c>
      <c r="Q23" s="1" t="s">
        <v>518</v>
      </c>
      <c r="R23" s="1" t="s">
        <v>266</v>
      </c>
      <c r="S23" s="1" t="s">
        <v>57</v>
      </c>
      <c r="T23" s="1" t="s">
        <v>43</v>
      </c>
      <c r="U23" s="1" t="s">
        <v>800</v>
      </c>
      <c r="V23" s="1" t="s">
        <v>44</v>
      </c>
      <c r="W23" s="1" t="s">
        <v>394</v>
      </c>
      <c r="X23" s="1" t="s">
        <v>377</v>
      </c>
      <c r="Y23" s="1" t="s">
        <v>394</v>
      </c>
      <c r="Z23" s="1" t="s">
        <v>394</v>
      </c>
      <c r="AA23" s="1" t="s">
        <v>394</v>
      </c>
      <c r="AB23" s="3" t="s">
        <v>394</v>
      </c>
      <c r="AC23" s="1" t="str">
        <f t="shared" si="0"/>
        <v>No</v>
      </c>
      <c r="AD23" s="1" t="s">
        <v>394</v>
      </c>
      <c r="AE23" s="1" t="s">
        <v>394</v>
      </c>
      <c r="AF23" s="1" t="s">
        <v>394</v>
      </c>
      <c r="AG23" s="1" t="s">
        <v>394</v>
      </c>
      <c r="AH23" s="1" t="s">
        <v>394</v>
      </c>
      <c r="AI23" s="1" t="s">
        <v>394</v>
      </c>
      <c r="AJ23" s="1" t="s">
        <v>394</v>
      </c>
      <c r="AK23" s="1" t="s">
        <v>394</v>
      </c>
      <c r="AL23" s="1" t="s">
        <v>394</v>
      </c>
      <c r="AM23" s="1" t="str">
        <f t="shared" si="1"/>
        <v>OK</v>
      </c>
      <c r="AN23" s="1" t="s">
        <v>383</v>
      </c>
      <c r="AO23" s="1" t="s">
        <v>388</v>
      </c>
      <c r="AP23" s="1" t="s">
        <v>394</v>
      </c>
      <c r="AQ23" s="1" t="s">
        <v>394</v>
      </c>
      <c r="AR23" s="1" t="s">
        <v>394</v>
      </c>
      <c r="AS23" s="1" t="s">
        <v>377</v>
      </c>
      <c r="AT23" s="1" t="s">
        <v>377</v>
      </c>
      <c r="AU23" s="1" t="s">
        <v>394</v>
      </c>
      <c r="AV23" s="1" t="s">
        <v>377</v>
      </c>
      <c r="AW23" s="1" t="s">
        <v>394</v>
      </c>
      <c r="AX23" s="1" t="s">
        <v>394</v>
      </c>
      <c r="AY23" s="1" t="s">
        <v>394</v>
      </c>
      <c r="AZ23" s="1" t="s">
        <v>394</v>
      </c>
      <c r="BA23" s="1" t="s">
        <v>825</v>
      </c>
      <c r="BB23" s="1" t="s">
        <v>378</v>
      </c>
      <c r="BC23" s="1" t="s">
        <v>394</v>
      </c>
      <c r="BD23" s="1" t="s">
        <v>394</v>
      </c>
      <c r="BE23" s="1" t="s">
        <v>394</v>
      </c>
      <c r="BF23" s="1" t="s">
        <v>377</v>
      </c>
      <c r="BH23" s="1" t="s">
        <v>785</v>
      </c>
      <c r="BI23" s="1" t="s">
        <v>394</v>
      </c>
      <c r="BJ23" s="1" t="s">
        <v>394</v>
      </c>
      <c r="BK23" s="1" t="s">
        <v>394</v>
      </c>
    </row>
    <row r="24" spans="1:63" x14ac:dyDescent="0.25">
      <c r="A24" s="1">
        <v>23</v>
      </c>
      <c r="B24" s="1" t="s">
        <v>94</v>
      </c>
      <c r="C24" s="1" t="s">
        <v>274</v>
      </c>
      <c r="D24" s="1" t="s">
        <v>44</v>
      </c>
      <c r="E24" s="1" t="s">
        <v>8</v>
      </c>
      <c r="F24" s="1" t="s">
        <v>273</v>
      </c>
      <c r="G24" s="1" t="s">
        <v>68</v>
      </c>
      <c r="H24" s="1">
        <v>2019</v>
      </c>
      <c r="I24" s="1" t="s">
        <v>34</v>
      </c>
      <c r="J24" s="1" t="s">
        <v>51</v>
      </c>
      <c r="K24" s="1">
        <v>50</v>
      </c>
      <c r="L24" s="1" t="s">
        <v>475</v>
      </c>
      <c r="M24" s="1" t="s">
        <v>47</v>
      </c>
      <c r="N24" s="1" t="s">
        <v>466</v>
      </c>
      <c r="O24" s="1" t="s">
        <v>44</v>
      </c>
      <c r="P24" s="1" t="s">
        <v>20</v>
      </c>
      <c r="Q24" s="1" t="s">
        <v>466</v>
      </c>
      <c r="R24" s="1" t="s">
        <v>47</v>
      </c>
      <c r="S24" s="1" t="s">
        <v>21</v>
      </c>
      <c r="T24" s="1" t="s">
        <v>43</v>
      </c>
      <c r="U24" s="1" t="s">
        <v>209</v>
      </c>
      <c r="V24" s="1" t="s">
        <v>44</v>
      </c>
      <c r="W24" s="1" t="s">
        <v>377</v>
      </c>
      <c r="X24" s="1" t="s">
        <v>394</v>
      </c>
      <c r="Y24" s="1" t="s">
        <v>394</v>
      </c>
      <c r="Z24" s="1" t="s">
        <v>394</v>
      </c>
      <c r="AA24" s="1" t="s">
        <v>394</v>
      </c>
      <c r="AB24" s="3" t="s">
        <v>394</v>
      </c>
      <c r="AC24" s="1" t="str">
        <f t="shared" si="0"/>
        <v>No</v>
      </c>
      <c r="AD24" s="1" t="s">
        <v>394</v>
      </c>
      <c r="AE24" s="1" t="s">
        <v>394</v>
      </c>
      <c r="AF24" s="1" t="s">
        <v>394</v>
      </c>
      <c r="AG24" s="1" t="s">
        <v>394</v>
      </c>
      <c r="AH24" s="1" t="s">
        <v>394</v>
      </c>
      <c r="AI24" s="1" t="s">
        <v>394</v>
      </c>
      <c r="AJ24" s="1" t="s">
        <v>394</v>
      </c>
      <c r="AK24" s="1" t="s">
        <v>394</v>
      </c>
      <c r="AL24" s="1" t="s">
        <v>394</v>
      </c>
      <c r="AM24" s="1" t="str">
        <f t="shared" si="1"/>
        <v>OK</v>
      </c>
      <c r="AN24" s="1" t="s">
        <v>383</v>
      </c>
      <c r="AO24" s="1" t="s">
        <v>801</v>
      </c>
      <c r="AP24" s="1" t="s">
        <v>394</v>
      </c>
      <c r="AQ24" s="1" t="s">
        <v>394</v>
      </c>
      <c r="AR24" s="1" t="s">
        <v>394</v>
      </c>
      <c r="AS24" s="1" t="s">
        <v>377</v>
      </c>
      <c r="AT24" s="1" t="s">
        <v>377</v>
      </c>
      <c r="AU24" s="1" t="s">
        <v>394</v>
      </c>
      <c r="AV24" s="1" t="s">
        <v>377</v>
      </c>
      <c r="AW24" s="1" t="s">
        <v>394</v>
      </c>
      <c r="AX24" s="1" t="s">
        <v>378</v>
      </c>
      <c r="AY24" s="1" t="s">
        <v>394</v>
      </c>
      <c r="AZ24" s="1" t="s">
        <v>394</v>
      </c>
      <c r="BA24" s="1" t="s">
        <v>394</v>
      </c>
      <c r="BB24" s="1" t="s">
        <v>377</v>
      </c>
      <c r="BC24" s="1" t="s">
        <v>377</v>
      </c>
      <c r="BD24" s="1" t="s">
        <v>394</v>
      </c>
      <c r="BE24" s="1" t="s">
        <v>394</v>
      </c>
      <c r="BF24" s="1" t="s">
        <v>394</v>
      </c>
      <c r="BH24" s="1" t="s">
        <v>785</v>
      </c>
      <c r="BI24" s="1" t="s">
        <v>394</v>
      </c>
      <c r="BJ24" s="1" t="s">
        <v>394</v>
      </c>
      <c r="BK24" s="1" t="s">
        <v>394</v>
      </c>
    </row>
    <row r="25" spans="1:63" x14ac:dyDescent="0.25">
      <c r="A25" s="1">
        <v>24</v>
      </c>
      <c r="B25" s="1" t="s">
        <v>95</v>
      </c>
      <c r="C25" s="1" t="s">
        <v>275</v>
      </c>
      <c r="D25" s="1" t="s">
        <v>276</v>
      </c>
      <c r="E25" s="1" t="s">
        <v>8</v>
      </c>
      <c r="F25" s="1" t="s">
        <v>277</v>
      </c>
      <c r="G25" s="1" t="s">
        <v>56</v>
      </c>
      <c r="H25" s="1">
        <v>2023</v>
      </c>
      <c r="I25" s="1" t="s">
        <v>242</v>
      </c>
      <c r="J25" s="1" t="s">
        <v>51</v>
      </c>
      <c r="K25" s="1">
        <v>105</v>
      </c>
      <c r="L25" s="1" t="s">
        <v>475</v>
      </c>
      <c r="M25" s="1" t="s">
        <v>47</v>
      </c>
      <c r="N25" s="1" t="s">
        <v>466</v>
      </c>
      <c r="O25" s="1" t="s">
        <v>44</v>
      </c>
      <c r="P25" s="1" t="s">
        <v>20</v>
      </c>
      <c r="Q25" s="1" t="s">
        <v>466</v>
      </c>
      <c r="R25" s="1" t="s">
        <v>47</v>
      </c>
      <c r="S25" s="1" t="s">
        <v>21</v>
      </c>
      <c r="T25" s="1" t="s">
        <v>43</v>
      </c>
      <c r="U25" s="1" t="s">
        <v>209</v>
      </c>
      <c r="V25" s="1" t="s">
        <v>44</v>
      </c>
      <c r="W25" s="1" t="s">
        <v>377</v>
      </c>
      <c r="X25" s="1" t="s">
        <v>394</v>
      </c>
      <c r="Y25" s="1" t="s">
        <v>394</v>
      </c>
      <c r="Z25" s="1" t="s">
        <v>394</v>
      </c>
      <c r="AA25" s="1" t="s">
        <v>394</v>
      </c>
      <c r="AB25" s="3" t="s">
        <v>394</v>
      </c>
      <c r="AC25" s="1" t="str">
        <f t="shared" si="0"/>
        <v>No</v>
      </c>
      <c r="AD25" s="1" t="s">
        <v>394</v>
      </c>
      <c r="AE25" s="1" t="s">
        <v>394</v>
      </c>
      <c r="AF25" s="1" t="s">
        <v>394</v>
      </c>
      <c r="AG25" s="1" t="s">
        <v>394</v>
      </c>
      <c r="AH25" s="1" t="s">
        <v>394</v>
      </c>
      <c r="AI25" s="1" t="s">
        <v>394</v>
      </c>
      <c r="AJ25" s="1" t="s">
        <v>394</v>
      </c>
      <c r="AK25" s="1" t="s">
        <v>394</v>
      </c>
      <c r="AL25" s="1" t="s">
        <v>394</v>
      </c>
      <c r="AM25" s="1" t="str">
        <f t="shared" si="1"/>
        <v>OK</v>
      </c>
      <c r="AN25" s="1" t="s">
        <v>383</v>
      </c>
      <c r="AO25" s="1" t="s">
        <v>387</v>
      </c>
      <c r="AP25" s="1" t="s">
        <v>394</v>
      </c>
      <c r="AQ25" s="1" t="s">
        <v>394</v>
      </c>
      <c r="AR25" s="1" t="s">
        <v>394</v>
      </c>
      <c r="AS25" s="1" t="s">
        <v>377</v>
      </c>
      <c r="AT25" s="1" t="s">
        <v>377</v>
      </c>
      <c r="AU25" s="1" t="s">
        <v>394</v>
      </c>
      <c r="AV25" s="1" t="s">
        <v>377</v>
      </c>
      <c r="AW25" s="1" t="s">
        <v>394</v>
      </c>
      <c r="AX25" s="1" t="s">
        <v>378</v>
      </c>
      <c r="AY25" s="1" t="s">
        <v>377</v>
      </c>
      <c r="AZ25" s="1" t="s">
        <v>377</v>
      </c>
      <c r="BA25" s="1" t="s">
        <v>394</v>
      </c>
      <c r="BB25" s="1" t="s">
        <v>377</v>
      </c>
      <c r="BC25" s="1" t="s">
        <v>377</v>
      </c>
      <c r="BD25" s="1" t="s">
        <v>394</v>
      </c>
      <c r="BE25" s="1" t="s">
        <v>377</v>
      </c>
      <c r="BF25" s="1" t="s">
        <v>377</v>
      </c>
      <c r="BH25" s="1" t="s">
        <v>802</v>
      </c>
      <c r="BI25" s="1" t="s">
        <v>394</v>
      </c>
      <c r="BJ25" s="1" t="s">
        <v>394</v>
      </c>
      <c r="BK25" s="1" t="s">
        <v>394</v>
      </c>
    </row>
    <row r="26" spans="1:63" x14ac:dyDescent="0.25">
      <c r="A26" s="1">
        <v>25</v>
      </c>
      <c r="B26" s="1" t="s">
        <v>96</v>
      </c>
      <c r="C26" s="1" t="s">
        <v>278</v>
      </c>
      <c r="D26" s="1" t="s">
        <v>44</v>
      </c>
      <c r="E26" s="1" t="s">
        <v>8</v>
      </c>
      <c r="F26" s="1" t="s">
        <v>279</v>
      </c>
      <c r="G26" s="1" t="s">
        <v>48</v>
      </c>
      <c r="H26" s="1">
        <v>2016</v>
      </c>
      <c r="I26" s="1" t="s">
        <v>212</v>
      </c>
      <c r="J26" s="1" t="s">
        <v>51</v>
      </c>
      <c r="K26" s="1">
        <v>215</v>
      </c>
      <c r="L26" s="1" t="s">
        <v>475</v>
      </c>
      <c r="M26" s="1" t="s">
        <v>47</v>
      </c>
      <c r="N26" s="1" t="s">
        <v>402</v>
      </c>
      <c r="O26" s="1" t="s">
        <v>44</v>
      </c>
      <c r="P26" s="1" t="s">
        <v>20</v>
      </c>
      <c r="Q26" s="1" t="s">
        <v>466</v>
      </c>
      <c r="R26" s="1" t="s">
        <v>47</v>
      </c>
      <c r="S26" s="1" t="s">
        <v>21</v>
      </c>
      <c r="T26" s="1" t="s">
        <v>43</v>
      </c>
      <c r="U26" s="1" t="s">
        <v>209</v>
      </c>
      <c r="V26" s="1" t="s">
        <v>44</v>
      </c>
      <c r="W26" s="1" t="s">
        <v>377</v>
      </c>
      <c r="X26" s="1" t="s">
        <v>394</v>
      </c>
      <c r="Y26" s="1" t="s">
        <v>394</v>
      </c>
      <c r="Z26" s="1" t="s">
        <v>394</v>
      </c>
      <c r="AA26" s="1" t="s">
        <v>394</v>
      </c>
      <c r="AB26" s="3" t="s">
        <v>377</v>
      </c>
      <c r="AC26" s="1" t="str">
        <f t="shared" si="0"/>
        <v>Yes</v>
      </c>
      <c r="AD26" s="1" t="s">
        <v>394</v>
      </c>
      <c r="AE26" s="1" t="s">
        <v>394</v>
      </c>
      <c r="AF26" s="1" t="s">
        <v>394</v>
      </c>
      <c r="AG26" s="1" t="s">
        <v>394</v>
      </c>
      <c r="AH26" s="1" t="s">
        <v>394</v>
      </c>
      <c r="AI26" s="1" t="s">
        <v>394</v>
      </c>
      <c r="AJ26" s="1" t="s">
        <v>394</v>
      </c>
      <c r="AK26" s="1" t="s">
        <v>394</v>
      </c>
      <c r="AL26" s="1" t="s">
        <v>394</v>
      </c>
      <c r="AM26" s="1" t="str">
        <f t="shared" si="1"/>
        <v>OK</v>
      </c>
      <c r="AN26" s="1" t="s">
        <v>383</v>
      </c>
      <c r="AO26" s="1" t="s">
        <v>384</v>
      </c>
      <c r="AP26" s="1" t="s">
        <v>394</v>
      </c>
      <c r="AQ26" s="1" t="s">
        <v>394</v>
      </c>
      <c r="AR26" s="1" t="s">
        <v>394</v>
      </c>
      <c r="AS26" s="1" t="s">
        <v>377</v>
      </c>
      <c r="AT26" s="1" t="s">
        <v>377</v>
      </c>
      <c r="AU26" s="1" t="s">
        <v>394</v>
      </c>
      <c r="AV26" s="1" t="s">
        <v>377</v>
      </c>
      <c r="AW26" s="1" t="s">
        <v>394</v>
      </c>
      <c r="AX26" s="1" t="s">
        <v>377</v>
      </c>
      <c r="AY26" s="1" t="s">
        <v>394</v>
      </c>
      <c r="AZ26" s="1" t="s">
        <v>394</v>
      </c>
      <c r="BA26" s="1" t="s">
        <v>394</v>
      </c>
      <c r="BB26" s="1" t="s">
        <v>377</v>
      </c>
      <c r="BC26" s="1" t="s">
        <v>377</v>
      </c>
      <c r="BD26" s="1" t="s">
        <v>377</v>
      </c>
      <c r="BE26" s="1" t="s">
        <v>394</v>
      </c>
      <c r="BF26" s="1" t="s">
        <v>394</v>
      </c>
      <c r="BH26" s="1" t="s">
        <v>785</v>
      </c>
      <c r="BI26" s="1" t="s">
        <v>394</v>
      </c>
      <c r="BJ26" s="1" t="s">
        <v>394</v>
      </c>
      <c r="BK26" s="1" t="s">
        <v>394</v>
      </c>
    </row>
    <row r="27" spans="1:63" x14ac:dyDescent="0.25">
      <c r="A27" s="1">
        <v>26</v>
      </c>
      <c r="B27" s="1" t="s">
        <v>97</v>
      </c>
      <c r="C27" s="1" t="s">
        <v>282</v>
      </c>
      <c r="D27" s="1" t="s">
        <v>44</v>
      </c>
      <c r="E27" s="1" t="s">
        <v>8</v>
      </c>
      <c r="F27" s="1" t="s">
        <v>281</v>
      </c>
      <c r="G27" s="1" t="s">
        <v>280</v>
      </c>
      <c r="H27" s="1">
        <v>2023</v>
      </c>
      <c r="I27" s="1" t="s">
        <v>34</v>
      </c>
      <c r="J27" s="1" t="s">
        <v>51</v>
      </c>
      <c r="K27" s="1">
        <v>730</v>
      </c>
      <c r="L27" s="1" t="s">
        <v>475</v>
      </c>
      <c r="M27" s="1" t="s">
        <v>47</v>
      </c>
      <c r="N27" s="1" t="s">
        <v>466</v>
      </c>
      <c r="O27" s="1" t="s">
        <v>44</v>
      </c>
      <c r="P27" s="1" t="s">
        <v>20</v>
      </c>
      <c r="Q27" s="1" t="s">
        <v>466</v>
      </c>
      <c r="R27" s="1" t="s">
        <v>47</v>
      </c>
      <c r="S27" s="1" t="s">
        <v>21</v>
      </c>
      <c r="T27" s="1" t="s">
        <v>43</v>
      </c>
      <c r="U27" s="1" t="s">
        <v>209</v>
      </c>
      <c r="V27" s="1" t="s">
        <v>403</v>
      </c>
      <c r="W27" s="1" t="s">
        <v>377</v>
      </c>
      <c r="X27" s="1" t="s">
        <v>377</v>
      </c>
      <c r="Y27" s="1" t="s">
        <v>394</v>
      </c>
      <c r="Z27" s="1" t="s">
        <v>377</v>
      </c>
      <c r="AA27" s="1" t="s">
        <v>394</v>
      </c>
      <c r="AB27" s="3" t="s">
        <v>394</v>
      </c>
      <c r="AC27" s="1" t="str">
        <f t="shared" si="0"/>
        <v>Yes</v>
      </c>
      <c r="AD27" s="1" t="s">
        <v>394</v>
      </c>
      <c r="AE27" s="1" t="s">
        <v>394</v>
      </c>
      <c r="AF27" s="1" t="s">
        <v>394</v>
      </c>
      <c r="AG27" s="1" t="s">
        <v>394</v>
      </c>
      <c r="AH27" s="1" t="s">
        <v>394</v>
      </c>
      <c r="AI27" s="1" t="s">
        <v>394</v>
      </c>
      <c r="AJ27" s="1" t="s">
        <v>394</v>
      </c>
      <c r="AK27" s="1" t="s">
        <v>394</v>
      </c>
      <c r="AL27" s="1" t="s">
        <v>394</v>
      </c>
      <c r="AM27" s="1" t="str">
        <f t="shared" si="1"/>
        <v>OK</v>
      </c>
      <c r="AN27" s="1" t="s">
        <v>383</v>
      </c>
      <c r="AO27" s="1" t="s">
        <v>384</v>
      </c>
      <c r="AP27" s="1" t="s">
        <v>394</v>
      </c>
      <c r="AQ27" s="1" t="s">
        <v>394</v>
      </c>
      <c r="AR27" s="1" t="s">
        <v>394</v>
      </c>
      <c r="AS27" s="1" t="s">
        <v>377</v>
      </c>
      <c r="AT27" s="1" t="s">
        <v>377</v>
      </c>
      <c r="AU27" s="1" t="s">
        <v>394</v>
      </c>
      <c r="AV27" s="1" t="s">
        <v>377</v>
      </c>
      <c r="AW27" s="1" t="s">
        <v>394</v>
      </c>
      <c r="AX27" s="1" t="s">
        <v>377</v>
      </c>
      <c r="AY27" s="1" t="s">
        <v>394</v>
      </c>
      <c r="AZ27" s="1" t="s">
        <v>394</v>
      </c>
      <c r="BA27" s="1" t="s">
        <v>825</v>
      </c>
      <c r="BB27" s="1" t="s">
        <v>377</v>
      </c>
      <c r="BC27" s="1" t="s">
        <v>377</v>
      </c>
      <c r="BD27" s="1" t="s">
        <v>377</v>
      </c>
      <c r="BE27" s="1" t="s">
        <v>394</v>
      </c>
      <c r="BF27" s="1" t="s">
        <v>394</v>
      </c>
      <c r="BH27" s="1" t="s">
        <v>785</v>
      </c>
      <c r="BI27" s="1" t="s">
        <v>394</v>
      </c>
      <c r="BJ27" s="1" t="s">
        <v>394</v>
      </c>
      <c r="BK27" s="1" t="s">
        <v>394</v>
      </c>
    </row>
    <row r="28" spans="1:63" x14ac:dyDescent="0.25">
      <c r="A28" s="1">
        <v>27</v>
      </c>
      <c r="B28" s="1" t="s">
        <v>98</v>
      </c>
      <c r="C28" s="1" t="s">
        <v>283</v>
      </c>
      <c r="D28" s="1" t="s">
        <v>44</v>
      </c>
      <c r="E28" s="1" t="s">
        <v>8</v>
      </c>
      <c r="F28" s="1" t="s">
        <v>284</v>
      </c>
      <c r="G28" s="1" t="s">
        <v>420</v>
      </c>
      <c r="H28" s="1">
        <v>2023</v>
      </c>
      <c r="I28" s="1" t="s">
        <v>34</v>
      </c>
      <c r="J28" s="1" t="s">
        <v>51</v>
      </c>
      <c r="K28" s="1">
        <v>81</v>
      </c>
      <c r="L28" s="1" t="s">
        <v>475</v>
      </c>
      <c r="M28" s="1" t="s">
        <v>404</v>
      </c>
      <c r="N28" s="1" t="s">
        <v>466</v>
      </c>
      <c r="O28" s="1" t="s">
        <v>44</v>
      </c>
      <c r="P28" s="1" t="s">
        <v>20</v>
      </c>
      <c r="Q28" s="1" t="s">
        <v>466</v>
      </c>
      <c r="R28" s="1" t="s">
        <v>47</v>
      </c>
      <c r="S28" s="1" t="s">
        <v>21</v>
      </c>
      <c r="T28" s="1" t="s">
        <v>43</v>
      </c>
      <c r="U28" s="1" t="s">
        <v>209</v>
      </c>
      <c r="V28" s="1" t="s">
        <v>44</v>
      </c>
      <c r="W28" s="1" t="s">
        <v>377</v>
      </c>
      <c r="X28" s="1" t="s">
        <v>394</v>
      </c>
      <c r="Y28" s="1" t="s">
        <v>394</v>
      </c>
      <c r="Z28" s="1" t="s">
        <v>394</v>
      </c>
      <c r="AA28" s="1" t="s">
        <v>394</v>
      </c>
      <c r="AB28" s="3" t="s">
        <v>394</v>
      </c>
      <c r="AC28" s="1" t="str">
        <f t="shared" si="0"/>
        <v>No</v>
      </c>
      <c r="AD28" s="1" t="s">
        <v>394</v>
      </c>
      <c r="AE28" s="1" t="s">
        <v>394</v>
      </c>
      <c r="AF28" s="1" t="s">
        <v>394</v>
      </c>
      <c r="AG28" s="1" t="s">
        <v>394</v>
      </c>
      <c r="AH28" s="1" t="s">
        <v>394</v>
      </c>
      <c r="AI28" s="1" t="s">
        <v>394</v>
      </c>
      <c r="AJ28" s="1" t="s">
        <v>394</v>
      </c>
      <c r="AK28" s="1" t="s">
        <v>394</v>
      </c>
      <c r="AL28" s="1" t="s">
        <v>394</v>
      </c>
      <c r="AM28" s="1" t="str">
        <f t="shared" si="1"/>
        <v>OK</v>
      </c>
      <c r="AN28" s="1" t="s">
        <v>383</v>
      </c>
      <c r="AO28" s="1" t="s">
        <v>405</v>
      </c>
      <c r="AP28" s="1" t="s">
        <v>394</v>
      </c>
      <c r="AQ28" s="1" t="s">
        <v>394</v>
      </c>
      <c r="AR28" s="1" t="s">
        <v>394</v>
      </c>
      <c r="AS28" s="1" t="s">
        <v>377</v>
      </c>
      <c r="AT28" s="1" t="s">
        <v>377</v>
      </c>
      <c r="AU28" s="1" t="s">
        <v>394</v>
      </c>
      <c r="AV28" s="1" t="s">
        <v>377</v>
      </c>
      <c r="AW28" s="1" t="s">
        <v>394</v>
      </c>
      <c r="AX28" s="1" t="s">
        <v>378</v>
      </c>
      <c r="AY28" s="1" t="s">
        <v>394</v>
      </c>
      <c r="AZ28" s="1" t="s">
        <v>394</v>
      </c>
      <c r="BA28" s="1" t="s">
        <v>825</v>
      </c>
      <c r="BB28" s="1" t="s">
        <v>377</v>
      </c>
      <c r="BC28" s="1" t="s">
        <v>377</v>
      </c>
      <c r="BD28" s="1" t="s">
        <v>378</v>
      </c>
      <c r="BE28" s="1" t="s">
        <v>378</v>
      </c>
      <c r="BF28" s="1" t="s">
        <v>394</v>
      </c>
      <c r="BH28" s="1" t="s">
        <v>785</v>
      </c>
      <c r="BI28" s="1" t="s">
        <v>394</v>
      </c>
      <c r="BJ28" s="1" t="s">
        <v>394</v>
      </c>
      <c r="BK28" s="1" t="s">
        <v>394</v>
      </c>
    </row>
    <row r="29" spans="1:63" x14ac:dyDescent="0.25">
      <c r="A29" s="1">
        <v>28</v>
      </c>
      <c r="B29" s="1" t="s">
        <v>99</v>
      </c>
      <c r="C29" s="1" t="s">
        <v>287</v>
      </c>
      <c r="D29" s="1" t="s">
        <v>44</v>
      </c>
      <c r="E29" s="1" t="s">
        <v>43</v>
      </c>
      <c r="F29" s="1" t="s">
        <v>286</v>
      </c>
      <c r="G29" s="1" t="s">
        <v>56</v>
      </c>
      <c r="H29" s="1">
        <v>2022</v>
      </c>
      <c r="I29" s="1" t="s">
        <v>212</v>
      </c>
      <c r="J29" s="1" t="s">
        <v>51</v>
      </c>
      <c r="K29" s="1">
        <v>1663</v>
      </c>
      <c r="L29" s="1" t="s">
        <v>475</v>
      </c>
      <c r="M29" s="1" t="s">
        <v>285</v>
      </c>
      <c r="N29" s="1" t="s">
        <v>466</v>
      </c>
      <c r="O29" s="1" t="s">
        <v>44</v>
      </c>
      <c r="P29" s="1" t="s">
        <v>20</v>
      </c>
      <c r="Q29" s="1" t="s">
        <v>466</v>
      </c>
      <c r="R29" s="1" t="s">
        <v>747</v>
      </c>
      <c r="S29" s="1" t="s">
        <v>21</v>
      </c>
      <c r="T29" s="1" t="s">
        <v>43</v>
      </c>
      <c r="U29" s="1" t="s">
        <v>209</v>
      </c>
      <c r="V29" s="1" t="s">
        <v>406</v>
      </c>
      <c r="W29" s="1" t="s">
        <v>377</v>
      </c>
      <c r="X29" s="1" t="s">
        <v>377</v>
      </c>
      <c r="Y29" s="1" t="s">
        <v>394</v>
      </c>
      <c r="Z29" s="1" t="s">
        <v>394</v>
      </c>
      <c r="AA29" s="1" t="s">
        <v>394</v>
      </c>
      <c r="AB29" s="3" t="s">
        <v>394</v>
      </c>
      <c r="AC29" s="1" t="str">
        <f t="shared" si="0"/>
        <v>No</v>
      </c>
      <c r="AD29" s="1" t="s">
        <v>394</v>
      </c>
      <c r="AE29" s="1" t="s">
        <v>394</v>
      </c>
      <c r="AF29" s="1" t="s">
        <v>394</v>
      </c>
      <c r="AG29" s="1" t="s">
        <v>377</v>
      </c>
      <c r="AH29" s="1" t="s">
        <v>394</v>
      </c>
      <c r="AI29" s="1" t="s">
        <v>394</v>
      </c>
      <c r="AJ29" s="1" t="s">
        <v>394</v>
      </c>
      <c r="AK29" s="1" t="s">
        <v>394</v>
      </c>
      <c r="AL29" s="1" t="s">
        <v>394</v>
      </c>
      <c r="AM29" s="1" t="str">
        <f t="shared" si="1"/>
        <v>OK</v>
      </c>
      <c r="AN29" s="1" t="s">
        <v>383</v>
      </c>
      <c r="AO29" s="1" t="s">
        <v>387</v>
      </c>
      <c r="AP29" s="1" t="s">
        <v>394</v>
      </c>
      <c r="AQ29" s="1" t="s">
        <v>394</v>
      </c>
      <c r="AR29" s="1" t="s">
        <v>394</v>
      </c>
      <c r="AS29" s="1" t="s">
        <v>377</v>
      </c>
      <c r="AT29" s="1" t="s">
        <v>377</v>
      </c>
      <c r="AU29" s="1" t="s">
        <v>394</v>
      </c>
      <c r="AV29" s="1" t="s">
        <v>377</v>
      </c>
      <c r="AW29" s="1" t="s">
        <v>394</v>
      </c>
      <c r="AX29" s="1" t="s">
        <v>377</v>
      </c>
      <c r="AY29" s="1" t="s">
        <v>394</v>
      </c>
      <c r="AZ29" s="1" t="s">
        <v>394</v>
      </c>
      <c r="BA29" s="1" t="s">
        <v>825</v>
      </c>
      <c r="BB29" s="1" t="s">
        <v>377</v>
      </c>
      <c r="BC29" s="1" t="s">
        <v>377</v>
      </c>
      <c r="BD29" s="1" t="s">
        <v>377</v>
      </c>
      <c r="BE29" s="1" t="s">
        <v>377</v>
      </c>
      <c r="BF29" s="1" t="s">
        <v>377</v>
      </c>
      <c r="BH29" s="1" t="s">
        <v>785</v>
      </c>
      <c r="BI29" s="1" t="s">
        <v>394</v>
      </c>
      <c r="BJ29" s="1" t="s">
        <v>394</v>
      </c>
      <c r="BK29" s="1" t="s">
        <v>394</v>
      </c>
    </row>
    <row r="30" spans="1:63" x14ac:dyDescent="0.25">
      <c r="A30" s="1">
        <v>29</v>
      </c>
      <c r="B30" s="1" t="s">
        <v>100</v>
      </c>
      <c r="C30" s="1" t="s">
        <v>292</v>
      </c>
      <c r="D30" s="1" t="s">
        <v>44</v>
      </c>
      <c r="E30" s="1" t="s">
        <v>8</v>
      </c>
      <c r="F30" s="1" t="s">
        <v>291</v>
      </c>
      <c r="G30" s="1" t="s">
        <v>288</v>
      </c>
      <c r="H30" s="1">
        <v>2020</v>
      </c>
      <c r="I30" s="1" t="s">
        <v>212</v>
      </c>
      <c r="J30" s="1" t="s">
        <v>51</v>
      </c>
      <c r="K30" s="1">
        <v>7155</v>
      </c>
      <c r="L30" s="1" t="s">
        <v>475</v>
      </c>
      <c r="M30" s="1" t="s">
        <v>47</v>
      </c>
      <c r="N30" s="1" t="s">
        <v>466</v>
      </c>
      <c r="O30" s="1" t="s">
        <v>44</v>
      </c>
      <c r="P30" s="1" t="s">
        <v>20</v>
      </c>
      <c r="Q30" s="1" t="s">
        <v>466</v>
      </c>
      <c r="R30" s="1" t="s">
        <v>289</v>
      </c>
      <c r="S30" s="1" t="s">
        <v>21</v>
      </c>
      <c r="T30" s="1" t="s">
        <v>43</v>
      </c>
      <c r="U30" s="1" t="s">
        <v>41</v>
      </c>
      <c r="V30" s="1" t="s">
        <v>290</v>
      </c>
      <c r="W30" s="1" t="s">
        <v>377</v>
      </c>
      <c r="X30" s="1" t="s">
        <v>377</v>
      </c>
      <c r="Y30" s="1" t="s">
        <v>394</v>
      </c>
      <c r="Z30" s="1" t="s">
        <v>394</v>
      </c>
      <c r="AA30" s="1" t="s">
        <v>394</v>
      </c>
      <c r="AB30" s="3" t="s">
        <v>394</v>
      </c>
      <c r="AC30" s="1" t="str">
        <f t="shared" si="0"/>
        <v>No</v>
      </c>
      <c r="AD30" s="1" t="s">
        <v>394</v>
      </c>
      <c r="AE30" s="1" t="s">
        <v>394</v>
      </c>
      <c r="AF30" s="1" t="s">
        <v>394</v>
      </c>
      <c r="AG30" s="1" t="s">
        <v>394</v>
      </c>
      <c r="AH30" s="1" t="s">
        <v>394</v>
      </c>
      <c r="AI30" s="1" t="s">
        <v>394</v>
      </c>
      <c r="AJ30" s="1" t="s">
        <v>394</v>
      </c>
      <c r="AK30" s="1" t="s">
        <v>394</v>
      </c>
      <c r="AL30" s="1" t="s">
        <v>394</v>
      </c>
      <c r="AM30" s="1" t="str">
        <f t="shared" si="1"/>
        <v>OK</v>
      </c>
      <c r="AN30" s="1" t="s">
        <v>383</v>
      </c>
      <c r="AO30" s="1" t="s">
        <v>384</v>
      </c>
      <c r="AP30" s="1" t="s">
        <v>394</v>
      </c>
      <c r="AQ30" s="1" t="s">
        <v>394</v>
      </c>
      <c r="AR30" s="1" t="s">
        <v>394</v>
      </c>
      <c r="AS30" s="1" t="s">
        <v>377</v>
      </c>
      <c r="AT30" s="1" t="s">
        <v>377</v>
      </c>
      <c r="AU30" s="1" t="s">
        <v>394</v>
      </c>
      <c r="AV30" s="1" t="s">
        <v>377</v>
      </c>
      <c r="AW30" s="1" t="s">
        <v>377</v>
      </c>
      <c r="AX30" s="1" t="s">
        <v>377</v>
      </c>
      <c r="AY30" s="1" t="s">
        <v>394</v>
      </c>
      <c r="AZ30" s="1" t="s">
        <v>394</v>
      </c>
      <c r="BA30" s="1" t="s">
        <v>825</v>
      </c>
      <c r="BB30" s="1" t="s">
        <v>377</v>
      </c>
      <c r="BC30" s="1" t="s">
        <v>377</v>
      </c>
      <c r="BD30" s="1" t="s">
        <v>377</v>
      </c>
      <c r="BE30" s="1" t="s">
        <v>377</v>
      </c>
      <c r="BF30" s="1" t="s">
        <v>377</v>
      </c>
      <c r="BH30" s="1" t="s">
        <v>785</v>
      </c>
      <c r="BI30" s="1" t="s">
        <v>394</v>
      </c>
      <c r="BJ30" s="1" t="s">
        <v>394</v>
      </c>
      <c r="BK30" s="1" t="s">
        <v>394</v>
      </c>
    </row>
    <row r="31" spans="1:63" x14ac:dyDescent="0.25">
      <c r="A31" s="1">
        <v>30</v>
      </c>
      <c r="B31" s="1" t="s">
        <v>101</v>
      </c>
      <c r="C31" s="1" t="s">
        <v>293</v>
      </c>
      <c r="D31" s="1" t="s">
        <v>44</v>
      </c>
      <c r="E31" s="1" t="s">
        <v>8</v>
      </c>
      <c r="F31" s="1" t="s">
        <v>294</v>
      </c>
      <c r="G31" s="1" t="s">
        <v>767</v>
      </c>
      <c r="H31" s="1">
        <v>2023</v>
      </c>
      <c r="I31" s="1" t="s">
        <v>212</v>
      </c>
      <c r="J31" s="1" t="s">
        <v>51</v>
      </c>
      <c r="K31" s="1">
        <v>306</v>
      </c>
      <c r="L31" s="1" t="s">
        <v>475</v>
      </c>
      <c r="M31" s="1" t="s">
        <v>407</v>
      </c>
      <c r="N31" s="1" t="s">
        <v>466</v>
      </c>
      <c r="O31" s="1" t="s">
        <v>44</v>
      </c>
      <c r="P31" s="1" t="s">
        <v>20</v>
      </c>
      <c r="Q31" s="1" t="s">
        <v>466</v>
      </c>
      <c r="R31" s="1" t="s">
        <v>47</v>
      </c>
      <c r="S31" s="1" t="s">
        <v>21</v>
      </c>
      <c r="T31" s="1" t="s">
        <v>43</v>
      </c>
      <c r="U31" s="1" t="s">
        <v>209</v>
      </c>
      <c r="V31" s="1" t="s">
        <v>44</v>
      </c>
      <c r="W31" s="1" t="s">
        <v>377</v>
      </c>
      <c r="X31" s="1" t="s">
        <v>394</v>
      </c>
      <c r="Y31" s="1" t="s">
        <v>394</v>
      </c>
      <c r="Z31" s="1" t="s">
        <v>377</v>
      </c>
      <c r="AA31" s="1" t="s">
        <v>394</v>
      </c>
      <c r="AB31" s="3" t="s">
        <v>394</v>
      </c>
      <c r="AC31" s="1" t="str">
        <f t="shared" si="0"/>
        <v>Yes</v>
      </c>
      <c r="AD31" s="1" t="s">
        <v>394</v>
      </c>
      <c r="AE31" s="1" t="s">
        <v>394</v>
      </c>
      <c r="AF31" s="1" t="s">
        <v>394</v>
      </c>
      <c r="AG31" s="1" t="s">
        <v>394</v>
      </c>
      <c r="AH31" s="1" t="s">
        <v>394</v>
      </c>
      <c r="AI31" s="1" t="s">
        <v>394</v>
      </c>
      <c r="AJ31" s="1" t="s">
        <v>394</v>
      </c>
      <c r="AK31" s="1" t="s">
        <v>394</v>
      </c>
      <c r="AL31" s="1" t="s">
        <v>394</v>
      </c>
      <c r="AM31" s="1" t="str">
        <f t="shared" si="1"/>
        <v>OK</v>
      </c>
      <c r="AN31" s="1" t="s">
        <v>383</v>
      </c>
      <c r="AO31" s="1" t="s">
        <v>384</v>
      </c>
      <c r="AP31" s="1" t="s">
        <v>394</v>
      </c>
      <c r="AQ31" s="1" t="s">
        <v>394</v>
      </c>
      <c r="AR31" s="1" t="s">
        <v>394</v>
      </c>
      <c r="AS31" s="1" t="s">
        <v>377</v>
      </c>
      <c r="AT31" s="1" t="s">
        <v>377</v>
      </c>
      <c r="AU31" s="1" t="s">
        <v>394</v>
      </c>
      <c r="AV31" s="1" t="s">
        <v>377</v>
      </c>
      <c r="AW31" s="1" t="s">
        <v>394</v>
      </c>
      <c r="AX31" s="1" t="s">
        <v>377</v>
      </c>
      <c r="AY31" s="1" t="s">
        <v>394</v>
      </c>
      <c r="AZ31" s="1" t="s">
        <v>394</v>
      </c>
      <c r="BA31" s="1" t="s">
        <v>394</v>
      </c>
      <c r="BB31" s="1" t="s">
        <v>377</v>
      </c>
      <c r="BC31" s="1" t="s">
        <v>377</v>
      </c>
      <c r="BD31" s="1" t="s">
        <v>377</v>
      </c>
      <c r="BE31" s="1" t="s">
        <v>377</v>
      </c>
      <c r="BF31" s="1" t="s">
        <v>394</v>
      </c>
      <c r="BH31" s="1" t="s">
        <v>785</v>
      </c>
      <c r="BI31" s="1" t="s">
        <v>394</v>
      </c>
      <c r="BJ31" s="1" t="s">
        <v>394</v>
      </c>
      <c r="BK31" s="1" t="s">
        <v>394</v>
      </c>
    </row>
    <row r="32" spans="1:63" x14ac:dyDescent="0.25">
      <c r="A32" s="1">
        <v>31</v>
      </c>
      <c r="B32" s="1" t="s">
        <v>102</v>
      </c>
      <c r="C32" s="1" t="s">
        <v>296</v>
      </c>
      <c r="D32" s="1" t="s">
        <v>44</v>
      </c>
      <c r="E32" s="1" t="s">
        <v>8</v>
      </c>
      <c r="F32" s="1" t="s">
        <v>295</v>
      </c>
      <c r="G32" s="1" t="s">
        <v>767</v>
      </c>
      <c r="H32" s="1">
        <v>2022</v>
      </c>
      <c r="I32" s="1" t="s">
        <v>212</v>
      </c>
      <c r="J32" s="1" t="s">
        <v>51</v>
      </c>
      <c r="K32" s="1">
        <v>78</v>
      </c>
      <c r="L32" s="1" t="s">
        <v>475</v>
      </c>
      <c r="M32" s="1" t="s">
        <v>748</v>
      </c>
      <c r="N32" s="1" t="s">
        <v>466</v>
      </c>
      <c r="O32" s="1" t="s">
        <v>44</v>
      </c>
      <c r="P32" s="1" t="s">
        <v>20</v>
      </c>
      <c r="Q32" s="1" t="s">
        <v>466</v>
      </c>
      <c r="R32" s="1" t="s">
        <v>47</v>
      </c>
      <c r="S32" s="1" t="s">
        <v>21</v>
      </c>
      <c r="T32" s="1" t="s">
        <v>43</v>
      </c>
      <c r="U32" s="1" t="s">
        <v>209</v>
      </c>
      <c r="V32" s="1" t="s">
        <v>44</v>
      </c>
      <c r="W32" s="1" t="s">
        <v>377</v>
      </c>
      <c r="X32" s="1" t="s">
        <v>377</v>
      </c>
      <c r="Y32" s="1" t="s">
        <v>394</v>
      </c>
      <c r="Z32" s="1" t="s">
        <v>377</v>
      </c>
      <c r="AA32" s="1" t="s">
        <v>394</v>
      </c>
      <c r="AB32" s="3" t="s">
        <v>394</v>
      </c>
      <c r="AC32" s="1" t="str">
        <f t="shared" si="0"/>
        <v>Yes</v>
      </c>
      <c r="AD32" s="1" t="s">
        <v>394</v>
      </c>
      <c r="AE32" s="1" t="s">
        <v>394</v>
      </c>
      <c r="AF32" s="1" t="s">
        <v>394</v>
      </c>
      <c r="AG32" s="1" t="s">
        <v>394</v>
      </c>
      <c r="AH32" s="1" t="s">
        <v>394</v>
      </c>
      <c r="AI32" s="1" t="s">
        <v>394</v>
      </c>
      <c r="AJ32" s="1" t="s">
        <v>394</v>
      </c>
      <c r="AK32" s="1" t="s">
        <v>394</v>
      </c>
      <c r="AL32" s="1" t="s">
        <v>394</v>
      </c>
      <c r="AM32" s="1" t="str">
        <f t="shared" si="1"/>
        <v>OK</v>
      </c>
      <c r="AN32" s="1" t="s">
        <v>383</v>
      </c>
      <c r="AO32" s="1" t="s">
        <v>384</v>
      </c>
      <c r="AP32" s="1" t="s">
        <v>394</v>
      </c>
      <c r="AQ32" s="1" t="s">
        <v>394</v>
      </c>
      <c r="AR32" s="1" t="s">
        <v>394</v>
      </c>
      <c r="AS32" s="1" t="s">
        <v>377</v>
      </c>
      <c r="AT32" s="1" t="s">
        <v>377</v>
      </c>
      <c r="AU32" s="1" t="s">
        <v>394</v>
      </c>
      <c r="AV32" s="1" t="s">
        <v>377</v>
      </c>
      <c r="AW32" s="1" t="s">
        <v>394</v>
      </c>
      <c r="AX32" s="1" t="s">
        <v>377</v>
      </c>
      <c r="AY32" s="1" t="s">
        <v>394</v>
      </c>
      <c r="AZ32" s="1" t="s">
        <v>394</v>
      </c>
      <c r="BA32" s="1" t="s">
        <v>394</v>
      </c>
      <c r="BB32" s="1" t="s">
        <v>377</v>
      </c>
      <c r="BC32" s="1" t="s">
        <v>377</v>
      </c>
      <c r="BD32" s="1" t="s">
        <v>377</v>
      </c>
      <c r="BE32" s="1" t="s">
        <v>377</v>
      </c>
      <c r="BF32" s="1" t="s">
        <v>377</v>
      </c>
      <c r="BH32" s="1" t="s">
        <v>785</v>
      </c>
      <c r="BI32" s="1" t="s">
        <v>394</v>
      </c>
      <c r="BJ32" s="1" t="s">
        <v>394</v>
      </c>
      <c r="BK32" s="1" t="s">
        <v>394</v>
      </c>
    </row>
    <row r="33" spans="1:63" x14ac:dyDescent="0.25">
      <c r="A33" s="1">
        <v>32</v>
      </c>
      <c r="B33" s="1" t="s">
        <v>103</v>
      </c>
      <c r="C33" s="1" t="s">
        <v>297</v>
      </c>
      <c r="D33" s="1" t="s">
        <v>44</v>
      </c>
      <c r="E33" s="1" t="s">
        <v>8</v>
      </c>
      <c r="F33" s="1" t="s">
        <v>298</v>
      </c>
      <c r="G33" s="1" t="s">
        <v>56</v>
      </c>
      <c r="H33" s="1">
        <v>2023</v>
      </c>
      <c r="I33" s="1" t="s">
        <v>212</v>
      </c>
      <c r="J33" s="1" t="s">
        <v>51</v>
      </c>
      <c r="K33" s="1">
        <v>1252</v>
      </c>
      <c r="L33" s="1" t="s">
        <v>475</v>
      </c>
      <c r="M33" s="1" t="s">
        <v>47</v>
      </c>
      <c r="N33" s="1" t="s">
        <v>466</v>
      </c>
      <c r="O33" s="1" t="s">
        <v>44</v>
      </c>
      <c r="P33" s="1" t="s">
        <v>20</v>
      </c>
      <c r="Q33" s="1" t="s">
        <v>466</v>
      </c>
      <c r="R33" s="1" t="s">
        <v>47</v>
      </c>
      <c r="S33" s="1" t="s">
        <v>21</v>
      </c>
      <c r="T33" s="1" t="s">
        <v>43</v>
      </c>
      <c r="U33" s="1" t="s">
        <v>299</v>
      </c>
      <c r="V33" s="1" t="s">
        <v>749</v>
      </c>
      <c r="W33" s="1" t="s">
        <v>394</v>
      </c>
      <c r="X33" s="1" t="s">
        <v>377</v>
      </c>
      <c r="Y33" s="1" t="s">
        <v>394</v>
      </c>
      <c r="Z33" s="1" t="s">
        <v>394</v>
      </c>
      <c r="AA33" s="1" t="s">
        <v>394</v>
      </c>
      <c r="AB33" s="3" t="s">
        <v>394</v>
      </c>
      <c r="AC33" s="1" t="str">
        <f t="shared" si="0"/>
        <v>No</v>
      </c>
      <c r="AD33" s="1" t="s">
        <v>394</v>
      </c>
      <c r="AE33" s="1" t="s">
        <v>394</v>
      </c>
      <c r="AF33" s="1" t="s">
        <v>394</v>
      </c>
      <c r="AG33" s="1" t="s">
        <v>394</v>
      </c>
      <c r="AH33" s="1" t="s">
        <v>394</v>
      </c>
      <c r="AI33" s="1" t="s">
        <v>394</v>
      </c>
      <c r="AJ33" s="1" t="s">
        <v>394</v>
      </c>
      <c r="AK33" s="1" t="s">
        <v>394</v>
      </c>
      <c r="AL33" s="1" t="s">
        <v>394</v>
      </c>
      <c r="AM33" s="1" t="str">
        <f t="shared" si="1"/>
        <v>OK</v>
      </c>
      <c r="AN33" s="1" t="s">
        <v>383</v>
      </c>
      <c r="AO33" s="1" t="s">
        <v>396</v>
      </c>
      <c r="AP33" s="1" t="s">
        <v>394</v>
      </c>
      <c r="AQ33" s="1" t="s">
        <v>394</v>
      </c>
      <c r="AR33" s="1" t="s">
        <v>394</v>
      </c>
      <c r="AS33" s="1" t="s">
        <v>377</v>
      </c>
      <c r="AT33" s="1" t="s">
        <v>377</v>
      </c>
      <c r="AU33" s="1" t="s">
        <v>394</v>
      </c>
      <c r="AV33" s="1" t="s">
        <v>377</v>
      </c>
      <c r="AW33" s="1" t="s">
        <v>377</v>
      </c>
      <c r="AX33" s="1" t="s">
        <v>394</v>
      </c>
      <c r="AY33" s="1" t="s">
        <v>394</v>
      </c>
      <c r="AZ33" s="1" t="s">
        <v>377</v>
      </c>
      <c r="BA33" s="1" t="s">
        <v>394</v>
      </c>
      <c r="BB33" s="1" t="s">
        <v>377</v>
      </c>
      <c r="BC33" s="1" t="s">
        <v>377</v>
      </c>
      <c r="BD33" s="1" t="s">
        <v>394</v>
      </c>
      <c r="BE33" s="1" t="s">
        <v>377</v>
      </c>
      <c r="BF33" s="1" t="s">
        <v>394</v>
      </c>
      <c r="BH33" s="1" t="s">
        <v>785</v>
      </c>
      <c r="BI33" s="1" t="s">
        <v>394</v>
      </c>
      <c r="BJ33" s="1" t="s">
        <v>394</v>
      </c>
      <c r="BK33" s="1" t="s">
        <v>394</v>
      </c>
    </row>
    <row r="34" spans="1:63" x14ac:dyDescent="0.25">
      <c r="A34" s="1">
        <v>33</v>
      </c>
      <c r="B34" s="1" t="s">
        <v>104</v>
      </c>
      <c r="C34" s="1" t="s">
        <v>303</v>
      </c>
      <c r="D34" s="1" t="s">
        <v>44</v>
      </c>
      <c r="E34" s="1" t="s">
        <v>8</v>
      </c>
      <c r="F34" s="1" t="s">
        <v>302</v>
      </c>
      <c r="G34" s="1" t="s">
        <v>782</v>
      </c>
      <c r="H34" s="1">
        <v>2022</v>
      </c>
      <c r="I34" s="1" t="s">
        <v>242</v>
      </c>
      <c r="J34" s="1" t="s">
        <v>51</v>
      </c>
      <c r="K34" s="1">
        <v>214</v>
      </c>
      <c r="L34" s="1" t="s">
        <v>475</v>
      </c>
      <c r="M34" s="1" t="s">
        <v>301</v>
      </c>
      <c r="N34" s="1" t="s">
        <v>466</v>
      </c>
      <c r="O34" s="1" t="s">
        <v>44</v>
      </c>
      <c r="P34" s="1" t="s">
        <v>20</v>
      </c>
      <c r="Q34" s="1" t="s">
        <v>466</v>
      </c>
      <c r="R34" s="1" t="s">
        <v>300</v>
      </c>
      <c r="S34" s="1" t="s">
        <v>21</v>
      </c>
      <c r="T34" s="1" t="s">
        <v>43</v>
      </c>
      <c r="U34" s="1" t="s">
        <v>299</v>
      </c>
      <c r="V34" s="1" t="s">
        <v>44</v>
      </c>
      <c r="W34" s="1" t="s">
        <v>377</v>
      </c>
      <c r="X34" s="1" t="s">
        <v>377</v>
      </c>
      <c r="Y34" s="1" t="s">
        <v>394</v>
      </c>
      <c r="Z34" s="1" t="s">
        <v>394</v>
      </c>
      <c r="AA34" s="1" t="s">
        <v>394</v>
      </c>
      <c r="AB34" s="3" t="s">
        <v>394</v>
      </c>
      <c r="AC34" s="1" t="str">
        <f t="shared" si="0"/>
        <v>No</v>
      </c>
      <c r="AD34" s="1" t="s">
        <v>394</v>
      </c>
      <c r="AE34" s="1" t="s">
        <v>394</v>
      </c>
      <c r="AF34" s="1" t="s">
        <v>394</v>
      </c>
      <c r="AG34" s="1" t="s">
        <v>394</v>
      </c>
      <c r="AH34" s="1" t="s">
        <v>394</v>
      </c>
      <c r="AI34" s="1" t="s">
        <v>394</v>
      </c>
      <c r="AJ34" s="1" t="s">
        <v>394</v>
      </c>
      <c r="AK34" s="1" t="s">
        <v>394</v>
      </c>
      <c r="AL34" s="1" t="s">
        <v>394</v>
      </c>
      <c r="AM34" s="1" t="str">
        <f t="shared" si="1"/>
        <v>OK</v>
      </c>
      <c r="AN34" s="1" t="s">
        <v>383</v>
      </c>
      <c r="AO34" s="1" t="s">
        <v>388</v>
      </c>
      <c r="AP34" s="1" t="s">
        <v>394</v>
      </c>
      <c r="AQ34" s="1" t="s">
        <v>394</v>
      </c>
      <c r="AR34" s="1" t="s">
        <v>394</v>
      </c>
      <c r="AS34" s="1" t="s">
        <v>377</v>
      </c>
      <c r="AT34" s="1" t="s">
        <v>377</v>
      </c>
      <c r="AU34" s="1" t="s">
        <v>377</v>
      </c>
      <c r="AV34" s="1" t="s">
        <v>377</v>
      </c>
      <c r="AW34" s="1" t="s">
        <v>377</v>
      </c>
      <c r="AX34" s="1" t="s">
        <v>394</v>
      </c>
      <c r="AY34" s="1" t="s">
        <v>377</v>
      </c>
      <c r="AZ34" s="1" t="s">
        <v>394</v>
      </c>
      <c r="BA34" s="1" t="s">
        <v>825</v>
      </c>
      <c r="BB34" s="1" t="s">
        <v>377</v>
      </c>
      <c r="BC34" s="1" t="s">
        <v>377</v>
      </c>
      <c r="BD34" s="1" t="s">
        <v>377</v>
      </c>
      <c r="BE34" s="1" t="s">
        <v>377</v>
      </c>
      <c r="BF34" s="1" t="s">
        <v>377</v>
      </c>
      <c r="BH34" s="1" t="s">
        <v>785</v>
      </c>
      <c r="BI34" s="1" t="s">
        <v>394</v>
      </c>
      <c r="BJ34" s="1" t="s">
        <v>394</v>
      </c>
      <c r="BK34" s="1" t="s">
        <v>394</v>
      </c>
    </row>
    <row r="35" spans="1:63" x14ac:dyDescent="0.25">
      <c r="A35" s="1">
        <v>34</v>
      </c>
      <c r="B35" s="1" t="s">
        <v>105</v>
      </c>
      <c r="C35" s="1" t="s">
        <v>304</v>
      </c>
      <c r="D35" s="1" t="s">
        <v>44</v>
      </c>
      <c r="E35" s="1" t="s">
        <v>8</v>
      </c>
      <c r="F35" s="1" t="s">
        <v>305</v>
      </c>
      <c r="G35" s="1" t="s">
        <v>56</v>
      </c>
      <c r="H35" s="1">
        <v>2023</v>
      </c>
      <c r="I35" s="1" t="s">
        <v>212</v>
      </c>
      <c r="J35" s="1" t="s">
        <v>51</v>
      </c>
      <c r="K35" s="1">
        <v>302</v>
      </c>
      <c r="L35" s="1" t="s">
        <v>475</v>
      </c>
      <c r="M35" s="1" t="s">
        <v>750</v>
      </c>
      <c r="N35" s="1" t="s">
        <v>466</v>
      </c>
      <c r="O35" s="1" t="s">
        <v>44</v>
      </c>
      <c r="P35" s="1" t="s">
        <v>20</v>
      </c>
      <c r="Q35" s="1" t="s">
        <v>466</v>
      </c>
      <c r="R35" s="1" t="s">
        <v>47</v>
      </c>
      <c r="S35" s="1" t="s">
        <v>21</v>
      </c>
      <c r="T35" s="1" t="s">
        <v>43</v>
      </c>
      <c r="U35" s="1" t="s">
        <v>209</v>
      </c>
      <c r="V35" s="1" t="s">
        <v>44</v>
      </c>
      <c r="W35" s="1" t="s">
        <v>377</v>
      </c>
      <c r="X35" s="1" t="s">
        <v>394</v>
      </c>
      <c r="Y35" s="1" t="s">
        <v>394</v>
      </c>
      <c r="Z35" s="1" t="s">
        <v>377</v>
      </c>
      <c r="AA35" s="1" t="s">
        <v>394</v>
      </c>
      <c r="AB35" s="3" t="s">
        <v>394</v>
      </c>
      <c r="AC35" s="1" t="str">
        <f t="shared" si="0"/>
        <v>Yes</v>
      </c>
      <c r="AD35" s="1" t="s">
        <v>394</v>
      </c>
      <c r="AE35" s="1" t="s">
        <v>394</v>
      </c>
      <c r="AF35" s="1" t="s">
        <v>394</v>
      </c>
      <c r="AG35" s="1" t="s">
        <v>394</v>
      </c>
      <c r="AH35" s="1" t="s">
        <v>394</v>
      </c>
      <c r="AI35" s="1" t="s">
        <v>394</v>
      </c>
      <c r="AJ35" s="1" t="s">
        <v>394</v>
      </c>
      <c r="AK35" s="1" t="s">
        <v>394</v>
      </c>
      <c r="AL35" s="1" t="s">
        <v>394</v>
      </c>
      <c r="AM35" s="1" t="str">
        <f t="shared" si="1"/>
        <v>OK</v>
      </c>
      <c r="AN35" s="1" t="s">
        <v>383</v>
      </c>
      <c r="AO35" s="1" t="s">
        <v>384</v>
      </c>
      <c r="AP35" s="1" t="s">
        <v>394</v>
      </c>
      <c r="AQ35" s="1" t="s">
        <v>394</v>
      </c>
      <c r="AR35" s="1" t="s">
        <v>394</v>
      </c>
      <c r="AS35" s="1" t="s">
        <v>377</v>
      </c>
      <c r="AT35" s="1" t="s">
        <v>377</v>
      </c>
      <c r="AU35" s="1" t="s">
        <v>394</v>
      </c>
      <c r="AV35" s="1" t="s">
        <v>377</v>
      </c>
      <c r="AW35" s="1" t="s">
        <v>394</v>
      </c>
      <c r="AX35" s="1" t="s">
        <v>394</v>
      </c>
      <c r="AY35" s="1" t="s">
        <v>394</v>
      </c>
      <c r="AZ35" s="1" t="s">
        <v>394</v>
      </c>
      <c r="BA35" s="1" t="s">
        <v>394</v>
      </c>
      <c r="BB35" s="1" t="s">
        <v>377</v>
      </c>
      <c r="BC35" s="1" t="s">
        <v>377</v>
      </c>
      <c r="BD35" s="1" t="s">
        <v>377</v>
      </c>
      <c r="BE35" s="1" t="s">
        <v>394</v>
      </c>
      <c r="BF35" s="1" t="s">
        <v>377</v>
      </c>
      <c r="BH35" s="1" t="s">
        <v>785</v>
      </c>
      <c r="BI35" s="1" t="s">
        <v>394</v>
      </c>
      <c r="BJ35" s="1" t="s">
        <v>394</v>
      </c>
      <c r="BK35" s="1" t="s">
        <v>394</v>
      </c>
    </row>
    <row r="36" spans="1:63" x14ac:dyDescent="0.25">
      <c r="A36" s="1">
        <v>35</v>
      </c>
      <c r="B36" s="1" t="s">
        <v>106</v>
      </c>
      <c r="C36" s="1" t="s">
        <v>306</v>
      </c>
      <c r="D36" s="1" t="s">
        <v>44</v>
      </c>
      <c r="E36" s="1" t="s">
        <v>8</v>
      </c>
      <c r="F36" s="1" t="s">
        <v>307</v>
      </c>
      <c r="G36" s="1" t="s">
        <v>207</v>
      </c>
      <c r="H36" s="1">
        <v>2023</v>
      </c>
      <c r="I36" s="1" t="s">
        <v>30</v>
      </c>
      <c r="J36" s="1" t="s">
        <v>51</v>
      </c>
      <c r="K36" s="1">
        <v>433</v>
      </c>
      <c r="L36" s="1" t="s">
        <v>253</v>
      </c>
      <c r="M36" s="1" t="s">
        <v>409</v>
      </c>
      <c r="N36" s="1" t="s">
        <v>252</v>
      </c>
      <c r="O36" s="1" t="s">
        <v>44</v>
      </c>
      <c r="P36" s="1" t="s">
        <v>20</v>
      </c>
      <c r="Q36" s="1" t="s">
        <v>22</v>
      </c>
      <c r="R36" s="1" t="s">
        <v>408</v>
      </c>
      <c r="S36" s="1" t="s">
        <v>21</v>
      </c>
      <c r="T36" s="1" t="s">
        <v>43</v>
      </c>
      <c r="U36" s="1" t="s">
        <v>299</v>
      </c>
      <c r="V36" s="1" t="s">
        <v>44</v>
      </c>
      <c r="W36" s="1" t="s">
        <v>377</v>
      </c>
      <c r="X36" s="1" t="s">
        <v>377</v>
      </c>
      <c r="Y36" s="1" t="s">
        <v>394</v>
      </c>
      <c r="Z36" s="1" t="s">
        <v>377</v>
      </c>
      <c r="AA36" s="1" t="s">
        <v>394</v>
      </c>
      <c r="AB36" s="3" t="s">
        <v>394</v>
      </c>
      <c r="AC36" s="1" t="str">
        <f t="shared" si="0"/>
        <v>Yes</v>
      </c>
      <c r="AD36" s="1" t="s">
        <v>394</v>
      </c>
      <c r="AE36" s="1" t="s">
        <v>394</v>
      </c>
      <c r="AF36" s="1" t="s">
        <v>394</v>
      </c>
      <c r="AG36" s="1" t="s">
        <v>394</v>
      </c>
      <c r="AH36" s="1" t="s">
        <v>394</v>
      </c>
      <c r="AI36" s="1" t="s">
        <v>394</v>
      </c>
      <c r="AJ36" s="1" t="s">
        <v>394</v>
      </c>
      <c r="AK36" s="1" t="s">
        <v>394</v>
      </c>
      <c r="AL36" s="1" t="s">
        <v>394</v>
      </c>
      <c r="AM36" s="1" t="str">
        <f t="shared" si="1"/>
        <v>OK</v>
      </c>
      <c r="AN36" s="1" t="s">
        <v>383</v>
      </c>
      <c r="AO36" s="1" t="s">
        <v>384</v>
      </c>
      <c r="AP36" s="1" t="s">
        <v>394</v>
      </c>
      <c r="AQ36" s="1" t="s">
        <v>377</v>
      </c>
      <c r="AR36" s="1" t="s">
        <v>394</v>
      </c>
      <c r="AS36" s="1" t="s">
        <v>377</v>
      </c>
      <c r="AT36" s="1" t="s">
        <v>377</v>
      </c>
      <c r="AU36" s="1" t="s">
        <v>377</v>
      </c>
      <c r="AV36" s="1" t="s">
        <v>377</v>
      </c>
      <c r="AW36" s="1" t="s">
        <v>377</v>
      </c>
      <c r="AX36" s="1" t="s">
        <v>377</v>
      </c>
      <c r="AY36" s="1" t="s">
        <v>394</v>
      </c>
      <c r="AZ36" s="1" t="s">
        <v>394</v>
      </c>
      <c r="BA36" s="1" t="s">
        <v>825</v>
      </c>
      <c r="BB36" s="1" t="s">
        <v>377</v>
      </c>
      <c r="BC36" s="1" t="s">
        <v>377</v>
      </c>
      <c r="BD36" s="1" t="s">
        <v>377</v>
      </c>
      <c r="BE36" s="1" t="s">
        <v>394</v>
      </c>
      <c r="BF36" s="1" t="s">
        <v>377</v>
      </c>
      <c r="BH36" s="1" t="s">
        <v>785</v>
      </c>
      <c r="BI36" s="1" t="s">
        <v>394</v>
      </c>
      <c r="BJ36" s="1" t="s">
        <v>394</v>
      </c>
      <c r="BK36" s="1" t="s">
        <v>394</v>
      </c>
    </row>
    <row r="37" spans="1:63" x14ac:dyDescent="0.25">
      <c r="A37" s="1">
        <v>36</v>
      </c>
      <c r="B37" s="1" t="s">
        <v>107</v>
      </c>
      <c r="C37" s="1" t="s">
        <v>309</v>
      </c>
      <c r="D37" s="1" t="s">
        <v>310</v>
      </c>
      <c r="E37" s="1" t="s">
        <v>8</v>
      </c>
      <c r="F37" s="1" t="s">
        <v>311</v>
      </c>
      <c r="G37" s="1" t="s">
        <v>56</v>
      </c>
      <c r="H37" s="1">
        <v>2015</v>
      </c>
      <c r="I37" s="1" t="s">
        <v>242</v>
      </c>
      <c r="J37" s="1" t="s">
        <v>51</v>
      </c>
      <c r="K37" s="1">
        <v>926324</v>
      </c>
      <c r="L37" s="1" t="s">
        <v>308</v>
      </c>
      <c r="M37" s="1" t="s">
        <v>414</v>
      </c>
      <c r="N37" s="1" t="s">
        <v>329</v>
      </c>
      <c r="O37" s="1" t="s">
        <v>44</v>
      </c>
      <c r="P37" s="1" t="s">
        <v>20</v>
      </c>
      <c r="Q37" s="1" t="s">
        <v>518</v>
      </c>
      <c r="R37" s="1" t="s">
        <v>312</v>
      </c>
      <c r="S37" s="1" t="s">
        <v>21</v>
      </c>
      <c r="T37" s="1" t="s">
        <v>43</v>
      </c>
      <c r="U37" s="1" t="s">
        <v>299</v>
      </c>
      <c r="V37" s="1" t="s">
        <v>410</v>
      </c>
      <c r="W37" s="1" t="s">
        <v>377</v>
      </c>
      <c r="X37" s="1" t="s">
        <v>377</v>
      </c>
      <c r="Y37" s="1" t="s">
        <v>394</v>
      </c>
      <c r="Z37" s="1" t="s">
        <v>377</v>
      </c>
      <c r="AA37" s="1" t="s">
        <v>394</v>
      </c>
      <c r="AB37" s="3" t="s">
        <v>394</v>
      </c>
      <c r="AC37" s="1" t="str">
        <f t="shared" si="0"/>
        <v>Yes</v>
      </c>
      <c r="AD37" s="1" t="s">
        <v>394</v>
      </c>
      <c r="AE37" s="1" t="s">
        <v>394</v>
      </c>
      <c r="AF37" s="1" t="s">
        <v>394</v>
      </c>
      <c r="AG37" s="1" t="s">
        <v>394</v>
      </c>
      <c r="AH37" s="1" t="s">
        <v>394</v>
      </c>
      <c r="AI37" s="1" t="s">
        <v>394</v>
      </c>
      <c r="AJ37" s="1" t="s">
        <v>394</v>
      </c>
      <c r="AK37" s="1" t="s">
        <v>394</v>
      </c>
      <c r="AL37" s="1" t="s">
        <v>394</v>
      </c>
      <c r="AM37" s="1" t="str">
        <f t="shared" si="1"/>
        <v>OK</v>
      </c>
      <c r="AN37" s="1" t="s">
        <v>383</v>
      </c>
      <c r="AO37" s="1" t="s">
        <v>388</v>
      </c>
      <c r="AP37" s="1" t="s">
        <v>394</v>
      </c>
      <c r="AQ37" s="1" t="s">
        <v>394</v>
      </c>
      <c r="AR37" s="1" t="s">
        <v>394</v>
      </c>
      <c r="AS37" s="1" t="s">
        <v>377</v>
      </c>
      <c r="AT37" s="1" t="s">
        <v>377</v>
      </c>
      <c r="AU37" s="1" t="s">
        <v>377</v>
      </c>
      <c r="AV37" s="1" t="s">
        <v>377</v>
      </c>
      <c r="AW37" s="1" t="s">
        <v>377</v>
      </c>
      <c r="AX37" s="1" t="s">
        <v>394</v>
      </c>
      <c r="AY37" s="1" t="s">
        <v>394</v>
      </c>
      <c r="AZ37" s="1" t="s">
        <v>394</v>
      </c>
      <c r="BA37" s="1" t="s">
        <v>394</v>
      </c>
      <c r="BB37" s="1" t="s">
        <v>377</v>
      </c>
      <c r="BC37" s="1" t="s">
        <v>377</v>
      </c>
      <c r="BD37" s="1" t="s">
        <v>377</v>
      </c>
      <c r="BE37" s="1" t="s">
        <v>378</v>
      </c>
      <c r="BF37" s="1" t="s">
        <v>377</v>
      </c>
      <c r="BH37" s="1" t="s">
        <v>785</v>
      </c>
      <c r="BI37" s="1" t="s">
        <v>394</v>
      </c>
      <c r="BJ37" s="1" t="s">
        <v>394</v>
      </c>
      <c r="BK37" s="1" t="s">
        <v>377</v>
      </c>
    </row>
    <row r="38" spans="1:63" x14ac:dyDescent="0.25">
      <c r="A38" s="1">
        <v>37</v>
      </c>
      <c r="B38" s="1" t="s">
        <v>108</v>
      </c>
      <c r="C38" s="1" t="s">
        <v>314</v>
      </c>
      <c r="D38" s="1" t="s">
        <v>44</v>
      </c>
      <c r="E38" s="1" t="s">
        <v>8</v>
      </c>
      <c r="F38" s="1" t="s">
        <v>315</v>
      </c>
      <c r="G38" s="1" t="s">
        <v>327</v>
      </c>
      <c r="H38" s="1">
        <v>2019</v>
      </c>
      <c r="I38" s="1" t="s">
        <v>34</v>
      </c>
      <c r="J38" s="1" t="s">
        <v>51</v>
      </c>
      <c r="K38" s="1">
        <v>462</v>
      </c>
      <c r="L38" s="1" t="s">
        <v>475</v>
      </c>
      <c r="M38" s="1" t="s">
        <v>313</v>
      </c>
      <c r="N38" s="1" t="s">
        <v>466</v>
      </c>
      <c r="O38" s="1" t="s">
        <v>44</v>
      </c>
      <c r="P38" s="1" t="s">
        <v>20</v>
      </c>
      <c r="Q38" s="1" t="s">
        <v>466</v>
      </c>
      <c r="R38" s="1" t="s">
        <v>47</v>
      </c>
      <c r="S38" s="1" t="s">
        <v>21</v>
      </c>
      <c r="T38" s="1" t="s">
        <v>43</v>
      </c>
      <c r="U38" s="1" t="s">
        <v>209</v>
      </c>
      <c r="V38" s="1" t="s">
        <v>44</v>
      </c>
      <c r="W38" s="1" t="s">
        <v>377</v>
      </c>
      <c r="X38" s="1" t="s">
        <v>394</v>
      </c>
      <c r="Y38" s="1" t="s">
        <v>394</v>
      </c>
      <c r="Z38" s="1" t="s">
        <v>394</v>
      </c>
      <c r="AA38" s="1" t="s">
        <v>394</v>
      </c>
      <c r="AB38" s="3" t="s">
        <v>394</v>
      </c>
      <c r="AC38" s="1" t="str">
        <f t="shared" si="0"/>
        <v>No</v>
      </c>
      <c r="AD38" s="1" t="s">
        <v>394</v>
      </c>
      <c r="AE38" s="1" t="s">
        <v>394</v>
      </c>
      <c r="AF38" s="1" t="s">
        <v>394</v>
      </c>
      <c r="AG38" s="1" t="s">
        <v>394</v>
      </c>
      <c r="AH38" s="1" t="s">
        <v>394</v>
      </c>
      <c r="AI38" s="1" t="s">
        <v>394</v>
      </c>
      <c r="AJ38" s="1" t="s">
        <v>394</v>
      </c>
      <c r="AK38" s="1" t="s">
        <v>394</v>
      </c>
      <c r="AL38" s="1" t="s">
        <v>394</v>
      </c>
      <c r="AM38" s="1" t="str">
        <f t="shared" si="1"/>
        <v>OK</v>
      </c>
      <c r="AN38" s="1" t="s">
        <v>383</v>
      </c>
      <c r="AO38" s="1" t="s">
        <v>384</v>
      </c>
      <c r="AP38" s="1" t="s">
        <v>394</v>
      </c>
      <c r="AQ38" s="1" t="s">
        <v>394</v>
      </c>
      <c r="AR38" s="1" t="s">
        <v>394</v>
      </c>
      <c r="AS38" s="1" t="s">
        <v>377</v>
      </c>
      <c r="AT38" s="1" t="s">
        <v>377</v>
      </c>
      <c r="AU38" s="1" t="s">
        <v>394</v>
      </c>
      <c r="AV38" s="1" t="s">
        <v>377</v>
      </c>
      <c r="AW38" s="1" t="s">
        <v>394</v>
      </c>
      <c r="AX38" s="1" t="s">
        <v>377</v>
      </c>
      <c r="AY38" s="1" t="s">
        <v>377</v>
      </c>
      <c r="AZ38" s="1" t="s">
        <v>394</v>
      </c>
      <c r="BA38" s="1" t="s">
        <v>825</v>
      </c>
      <c r="BB38" s="1" t="s">
        <v>377</v>
      </c>
      <c r="BC38" s="1" t="s">
        <v>377</v>
      </c>
      <c r="BD38" s="1" t="s">
        <v>394</v>
      </c>
      <c r="BE38" s="1" t="s">
        <v>394</v>
      </c>
      <c r="BF38" s="1" t="s">
        <v>394</v>
      </c>
      <c r="BH38" s="1" t="s">
        <v>785</v>
      </c>
      <c r="BI38" s="1" t="s">
        <v>394</v>
      </c>
      <c r="BJ38" s="1" t="s">
        <v>394</v>
      </c>
      <c r="BK38" s="1" t="s">
        <v>394</v>
      </c>
    </row>
    <row r="39" spans="1:63" x14ac:dyDescent="0.25">
      <c r="A39" s="1">
        <v>38</v>
      </c>
      <c r="B39" s="1" t="s">
        <v>109</v>
      </c>
      <c r="C39" s="1" t="s">
        <v>317</v>
      </c>
      <c r="D39" s="1" t="s">
        <v>318</v>
      </c>
      <c r="E39" s="1" t="s">
        <v>8</v>
      </c>
      <c r="F39" s="1" t="s">
        <v>316</v>
      </c>
      <c r="G39" s="1" t="s">
        <v>417</v>
      </c>
      <c r="H39" s="1">
        <v>2023</v>
      </c>
      <c r="I39" s="1" t="s">
        <v>34</v>
      </c>
      <c r="J39" s="1" t="s">
        <v>51</v>
      </c>
      <c r="K39" s="1">
        <v>35</v>
      </c>
      <c r="L39" s="1" t="s">
        <v>475</v>
      </c>
      <c r="M39" s="1" t="s">
        <v>47</v>
      </c>
      <c r="N39" s="1" t="s">
        <v>466</v>
      </c>
      <c r="O39" s="1" t="s">
        <v>44</v>
      </c>
      <c r="P39" s="1" t="s">
        <v>20</v>
      </c>
      <c r="Q39" s="1" t="s">
        <v>466</v>
      </c>
      <c r="R39" s="1" t="s">
        <v>47</v>
      </c>
      <c r="S39" s="1" t="s">
        <v>21</v>
      </c>
      <c r="T39" s="1" t="s">
        <v>43</v>
      </c>
      <c r="U39" s="1" t="s">
        <v>209</v>
      </c>
      <c r="V39" s="1" t="s">
        <v>44</v>
      </c>
      <c r="W39" s="1" t="s">
        <v>377</v>
      </c>
      <c r="X39" s="1" t="s">
        <v>394</v>
      </c>
      <c r="Y39" s="1" t="s">
        <v>394</v>
      </c>
      <c r="Z39" s="1" t="s">
        <v>394</v>
      </c>
      <c r="AA39" s="1" t="s">
        <v>394</v>
      </c>
      <c r="AB39" s="3" t="s">
        <v>394</v>
      </c>
      <c r="AC39" s="1" t="str">
        <f t="shared" si="0"/>
        <v>No</v>
      </c>
      <c r="AD39" s="1" t="s">
        <v>394</v>
      </c>
      <c r="AE39" s="1" t="s">
        <v>394</v>
      </c>
      <c r="AF39" s="1" t="s">
        <v>394</v>
      </c>
      <c r="AG39" s="1" t="s">
        <v>394</v>
      </c>
      <c r="AH39" s="1" t="s">
        <v>394</v>
      </c>
      <c r="AI39" s="1" t="s">
        <v>394</v>
      </c>
      <c r="AJ39" s="1" t="s">
        <v>394</v>
      </c>
      <c r="AK39" s="1" t="s">
        <v>394</v>
      </c>
      <c r="AL39" s="1" t="s">
        <v>394</v>
      </c>
      <c r="AM39" s="1" t="str">
        <f t="shared" si="1"/>
        <v>OK</v>
      </c>
      <c r="AN39" s="1" t="s">
        <v>383</v>
      </c>
      <c r="AO39" s="1" t="s">
        <v>384</v>
      </c>
      <c r="AP39" s="1" t="s">
        <v>394</v>
      </c>
      <c r="AQ39" s="1" t="s">
        <v>394</v>
      </c>
      <c r="AR39" s="1" t="s">
        <v>394</v>
      </c>
      <c r="AS39" s="1" t="s">
        <v>377</v>
      </c>
      <c r="AT39" s="1" t="s">
        <v>377</v>
      </c>
      <c r="AU39" s="1" t="s">
        <v>394</v>
      </c>
      <c r="AV39" s="1" t="s">
        <v>377</v>
      </c>
      <c r="AW39" s="1" t="s">
        <v>394</v>
      </c>
      <c r="AX39" s="1" t="s">
        <v>377</v>
      </c>
      <c r="AY39" s="1" t="s">
        <v>394</v>
      </c>
      <c r="AZ39" s="1" t="s">
        <v>394</v>
      </c>
      <c r="BA39" s="1" t="s">
        <v>825</v>
      </c>
      <c r="BB39" s="1" t="s">
        <v>377</v>
      </c>
      <c r="BC39" s="1" t="s">
        <v>394</v>
      </c>
      <c r="BD39" s="1" t="s">
        <v>394</v>
      </c>
      <c r="BE39" s="1" t="s">
        <v>394</v>
      </c>
      <c r="BF39" s="1" t="s">
        <v>394</v>
      </c>
      <c r="BH39" s="1" t="s">
        <v>785</v>
      </c>
      <c r="BI39" s="1" t="s">
        <v>394</v>
      </c>
      <c r="BJ39" s="1" t="s">
        <v>394</v>
      </c>
      <c r="BK39" s="1" t="s">
        <v>394</v>
      </c>
    </row>
    <row r="40" spans="1:63" x14ac:dyDescent="0.25">
      <c r="A40" s="1">
        <v>39</v>
      </c>
      <c r="B40" s="1" t="s">
        <v>110</v>
      </c>
      <c r="C40" s="1" t="s">
        <v>320</v>
      </c>
      <c r="D40" s="1" t="s">
        <v>44</v>
      </c>
      <c r="E40" s="1" t="s">
        <v>8</v>
      </c>
      <c r="F40" s="1" t="s">
        <v>322</v>
      </c>
      <c r="G40" s="1" t="s">
        <v>56</v>
      </c>
      <c r="H40" s="1">
        <v>2016</v>
      </c>
      <c r="I40" s="1" t="s">
        <v>212</v>
      </c>
      <c r="J40" s="1" t="s">
        <v>51</v>
      </c>
      <c r="K40" s="1">
        <v>27</v>
      </c>
      <c r="L40" s="1" t="s">
        <v>475</v>
      </c>
      <c r="M40" s="1" t="s">
        <v>319</v>
      </c>
      <c r="N40" s="1" t="s">
        <v>252</v>
      </c>
      <c r="O40" s="1" t="s">
        <v>44</v>
      </c>
      <c r="P40" s="1" t="s">
        <v>20</v>
      </c>
      <c r="Q40" s="1" t="s">
        <v>22</v>
      </c>
      <c r="R40" s="1" t="s">
        <v>47</v>
      </c>
      <c r="S40" s="1" t="s">
        <v>21</v>
      </c>
      <c r="T40" s="1" t="s">
        <v>43</v>
      </c>
      <c r="U40" s="1" t="s">
        <v>299</v>
      </c>
      <c r="V40" s="1" t="s">
        <v>321</v>
      </c>
      <c r="W40" s="1" t="s">
        <v>377</v>
      </c>
      <c r="X40" s="1" t="s">
        <v>377</v>
      </c>
      <c r="Y40" s="1" t="s">
        <v>394</v>
      </c>
      <c r="Z40" s="1" t="s">
        <v>377</v>
      </c>
      <c r="AA40" s="1" t="s">
        <v>394</v>
      </c>
      <c r="AB40" s="3" t="s">
        <v>394</v>
      </c>
      <c r="AC40" s="1" t="str">
        <f t="shared" si="0"/>
        <v>Yes</v>
      </c>
      <c r="AD40" s="1" t="s">
        <v>394</v>
      </c>
      <c r="AE40" s="1" t="s">
        <v>394</v>
      </c>
      <c r="AF40" s="1" t="s">
        <v>394</v>
      </c>
      <c r="AG40" s="1" t="s">
        <v>394</v>
      </c>
      <c r="AH40" s="1" t="s">
        <v>394</v>
      </c>
      <c r="AI40" s="1" t="s">
        <v>394</v>
      </c>
      <c r="AJ40" s="1" t="s">
        <v>394</v>
      </c>
      <c r="AK40" s="1" t="s">
        <v>394</v>
      </c>
      <c r="AL40" s="1" t="s">
        <v>394</v>
      </c>
      <c r="AM40" s="1" t="str">
        <f t="shared" si="1"/>
        <v>OK</v>
      </c>
      <c r="AN40" s="1" t="s">
        <v>383</v>
      </c>
      <c r="AO40" s="1" t="s">
        <v>387</v>
      </c>
      <c r="AP40" s="1" t="s">
        <v>394</v>
      </c>
      <c r="AQ40" s="1" t="s">
        <v>394</v>
      </c>
      <c r="AR40" s="1" t="s">
        <v>394</v>
      </c>
      <c r="AS40" s="1" t="s">
        <v>377</v>
      </c>
      <c r="AT40" s="1" t="s">
        <v>377</v>
      </c>
      <c r="AU40" s="1" t="s">
        <v>394</v>
      </c>
      <c r="AV40" s="1" t="s">
        <v>377</v>
      </c>
      <c r="AW40" s="1" t="s">
        <v>394</v>
      </c>
      <c r="AX40" s="1" t="s">
        <v>378</v>
      </c>
      <c r="AY40" s="1" t="s">
        <v>394</v>
      </c>
      <c r="AZ40" s="1" t="s">
        <v>394</v>
      </c>
      <c r="BA40" s="1" t="s">
        <v>394</v>
      </c>
      <c r="BB40" s="1" t="s">
        <v>377</v>
      </c>
      <c r="BC40" s="1" t="s">
        <v>377</v>
      </c>
      <c r="BD40" s="1" t="s">
        <v>377</v>
      </c>
      <c r="BE40" s="1" t="s">
        <v>377</v>
      </c>
      <c r="BF40" s="1" t="s">
        <v>377</v>
      </c>
      <c r="BH40" s="1" t="s">
        <v>785</v>
      </c>
      <c r="BI40" s="1" t="s">
        <v>394</v>
      </c>
      <c r="BJ40" s="1" t="s">
        <v>394</v>
      </c>
      <c r="BK40" s="1" t="s">
        <v>394</v>
      </c>
    </row>
    <row r="41" spans="1:63" x14ac:dyDescent="0.25">
      <c r="A41" s="1">
        <v>40</v>
      </c>
      <c r="B41" s="1" t="s">
        <v>29</v>
      </c>
      <c r="C41" s="1" t="s">
        <v>54</v>
      </c>
      <c r="D41" s="1" t="s">
        <v>44</v>
      </c>
      <c r="E41" s="1" t="s">
        <v>8</v>
      </c>
      <c r="F41" s="1" t="s">
        <v>55</v>
      </c>
      <c r="G41" s="1" t="s">
        <v>56</v>
      </c>
      <c r="H41" s="1">
        <v>2023</v>
      </c>
      <c r="I41" s="1" t="s">
        <v>30</v>
      </c>
      <c r="J41" s="1" t="s">
        <v>51</v>
      </c>
      <c r="K41" s="1">
        <v>388</v>
      </c>
      <c r="L41" s="1" t="s">
        <v>53</v>
      </c>
      <c r="M41" s="1" t="s">
        <v>411</v>
      </c>
      <c r="N41" s="1" t="s">
        <v>52</v>
      </c>
      <c r="O41" s="1" t="s">
        <v>44</v>
      </c>
      <c r="P41" s="1" t="s">
        <v>230</v>
      </c>
      <c r="Q41" s="1" t="s">
        <v>518</v>
      </c>
      <c r="R41" s="1" t="s">
        <v>328</v>
      </c>
      <c r="S41" s="1" t="s">
        <v>57</v>
      </c>
      <c r="T41" s="1" t="s">
        <v>43</v>
      </c>
      <c r="U41" s="1" t="s">
        <v>209</v>
      </c>
      <c r="V41" s="1" t="s">
        <v>412</v>
      </c>
      <c r="W41" s="1" t="s">
        <v>377</v>
      </c>
      <c r="X41" s="1" t="s">
        <v>377</v>
      </c>
      <c r="Y41" s="1" t="s">
        <v>394</v>
      </c>
      <c r="Z41" s="1" t="s">
        <v>377</v>
      </c>
      <c r="AA41" s="1" t="s">
        <v>394</v>
      </c>
      <c r="AB41" s="3" t="s">
        <v>394</v>
      </c>
      <c r="AC41" s="1" t="str">
        <f t="shared" si="0"/>
        <v>Yes</v>
      </c>
      <c r="AD41" s="1" t="s">
        <v>394</v>
      </c>
      <c r="AE41" s="1" t="s">
        <v>394</v>
      </c>
      <c r="AF41" s="1" t="s">
        <v>394</v>
      </c>
      <c r="AG41" s="1" t="s">
        <v>394</v>
      </c>
      <c r="AH41" s="1" t="s">
        <v>394</v>
      </c>
      <c r="AI41" s="1" t="s">
        <v>394</v>
      </c>
      <c r="AJ41" s="1" t="s">
        <v>394</v>
      </c>
      <c r="AK41" s="1" t="s">
        <v>394</v>
      </c>
      <c r="AL41" s="1" t="s">
        <v>394</v>
      </c>
      <c r="AM41" s="1" t="str">
        <f t="shared" si="1"/>
        <v>OK</v>
      </c>
      <c r="AN41" s="1" t="s">
        <v>383</v>
      </c>
      <c r="AO41" s="1" t="s">
        <v>384</v>
      </c>
      <c r="AP41" s="1" t="s">
        <v>394</v>
      </c>
      <c r="AQ41" s="1" t="s">
        <v>377</v>
      </c>
      <c r="AR41" s="1" t="s">
        <v>394</v>
      </c>
      <c r="AS41" s="1" t="s">
        <v>377</v>
      </c>
      <c r="AT41" s="1" t="s">
        <v>377</v>
      </c>
      <c r="AU41" s="1" t="s">
        <v>378</v>
      </c>
      <c r="AV41" s="1" t="s">
        <v>377</v>
      </c>
      <c r="AW41" s="1" t="s">
        <v>377</v>
      </c>
      <c r="AX41" s="1" t="s">
        <v>394</v>
      </c>
      <c r="AY41" s="1" t="s">
        <v>394</v>
      </c>
      <c r="AZ41" s="1" t="s">
        <v>394</v>
      </c>
      <c r="BA41" s="1" t="s">
        <v>394</v>
      </c>
      <c r="BB41" s="1" t="s">
        <v>377</v>
      </c>
      <c r="BC41" s="1" t="s">
        <v>394</v>
      </c>
      <c r="BD41" s="1" t="s">
        <v>394</v>
      </c>
      <c r="BE41" s="1" t="s">
        <v>377</v>
      </c>
      <c r="BF41" s="1" t="s">
        <v>394</v>
      </c>
      <c r="BH41" s="1" t="s">
        <v>785</v>
      </c>
      <c r="BI41" s="1" t="s">
        <v>394</v>
      </c>
      <c r="BJ41" s="1" t="s">
        <v>394</v>
      </c>
      <c r="BK41" s="1" t="s">
        <v>394</v>
      </c>
    </row>
    <row r="42" spans="1:63" x14ac:dyDescent="0.25">
      <c r="A42" s="1">
        <v>41</v>
      </c>
      <c r="B42" s="1" t="s">
        <v>111</v>
      </c>
      <c r="C42" s="1" t="s">
        <v>326</v>
      </c>
      <c r="D42" s="1" t="s">
        <v>44</v>
      </c>
      <c r="E42" s="1" t="s">
        <v>43</v>
      </c>
      <c r="F42" s="1" t="s">
        <v>323</v>
      </c>
      <c r="G42" s="1" t="s">
        <v>217</v>
      </c>
      <c r="H42" s="1">
        <v>2020</v>
      </c>
      <c r="I42" s="1" t="s">
        <v>212</v>
      </c>
      <c r="J42" s="1" t="s">
        <v>51</v>
      </c>
      <c r="K42" s="1">
        <v>118</v>
      </c>
      <c r="L42" s="1" t="s">
        <v>325</v>
      </c>
      <c r="M42" s="1" t="s">
        <v>751</v>
      </c>
      <c r="N42" s="1" t="s">
        <v>252</v>
      </c>
      <c r="O42" s="1" t="s">
        <v>44</v>
      </c>
      <c r="P42" s="1" t="s">
        <v>20</v>
      </c>
      <c r="Q42" s="1" t="s">
        <v>22</v>
      </c>
      <c r="R42" s="1" t="s">
        <v>324</v>
      </c>
      <c r="S42" s="1" t="s">
        <v>21</v>
      </c>
      <c r="T42" s="1" t="s">
        <v>43</v>
      </c>
      <c r="U42" s="1" t="s">
        <v>209</v>
      </c>
      <c r="V42" s="1" t="s">
        <v>753</v>
      </c>
      <c r="W42" s="1" t="s">
        <v>377</v>
      </c>
      <c r="X42" s="1" t="s">
        <v>377</v>
      </c>
      <c r="Y42" s="1" t="s">
        <v>394</v>
      </c>
      <c r="Z42" s="1" t="s">
        <v>377</v>
      </c>
      <c r="AA42" s="1" t="s">
        <v>394</v>
      </c>
      <c r="AB42" s="3" t="s">
        <v>394</v>
      </c>
      <c r="AC42" s="1" t="str">
        <f t="shared" si="0"/>
        <v>Yes</v>
      </c>
      <c r="AD42" s="1" t="s">
        <v>394</v>
      </c>
      <c r="AE42" s="1" t="s">
        <v>394</v>
      </c>
      <c r="AF42" s="1" t="s">
        <v>394</v>
      </c>
      <c r="AG42" s="1" t="s">
        <v>394</v>
      </c>
      <c r="AH42" s="1" t="s">
        <v>394</v>
      </c>
      <c r="AI42" s="1" t="s">
        <v>394</v>
      </c>
      <c r="AJ42" s="1" t="s">
        <v>394</v>
      </c>
      <c r="AK42" s="1" t="s">
        <v>394</v>
      </c>
      <c r="AL42" s="1" t="s">
        <v>394</v>
      </c>
      <c r="AM42" s="1" t="str">
        <f t="shared" si="1"/>
        <v>OK</v>
      </c>
      <c r="AN42" s="1" t="s">
        <v>383</v>
      </c>
      <c r="AO42" s="1" t="s">
        <v>752</v>
      </c>
      <c r="AP42" s="1" t="s">
        <v>394</v>
      </c>
      <c r="AQ42" s="1" t="s">
        <v>394</v>
      </c>
      <c r="AR42" s="1" t="s">
        <v>394</v>
      </c>
      <c r="AS42" s="1" t="s">
        <v>377</v>
      </c>
      <c r="AT42" s="1" t="s">
        <v>377</v>
      </c>
      <c r="AU42" s="1" t="s">
        <v>377</v>
      </c>
      <c r="AV42" s="1" t="s">
        <v>377</v>
      </c>
      <c r="AW42" s="1" t="s">
        <v>377</v>
      </c>
      <c r="AX42" s="1" t="s">
        <v>377</v>
      </c>
      <c r="AY42" s="1" t="s">
        <v>394</v>
      </c>
      <c r="AZ42" s="1" t="s">
        <v>377</v>
      </c>
      <c r="BA42" s="1" t="s">
        <v>825</v>
      </c>
      <c r="BB42" s="1" t="s">
        <v>377</v>
      </c>
      <c r="BC42" s="1" t="s">
        <v>394</v>
      </c>
      <c r="BD42" s="1" t="s">
        <v>394</v>
      </c>
      <c r="BE42" s="1" t="s">
        <v>377</v>
      </c>
      <c r="BF42" s="1" t="s">
        <v>377</v>
      </c>
      <c r="BH42" s="1" t="s">
        <v>785</v>
      </c>
      <c r="BI42" s="1" t="s">
        <v>394</v>
      </c>
      <c r="BJ42" s="1" t="s">
        <v>394</v>
      </c>
      <c r="BK42" s="1" t="s">
        <v>394</v>
      </c>
    </row>
    <row r="43" spans="1:63" x14ac:dyDescent="0.25">
      <c r="A43" s="1">
        <v>42</v>
      </c>
      <c r="B43" s="1" t="s">
        <v>112</v>
      </c>
      <c r="C43" s="1" t="s">
        <v>330</v>
      </c>
      <c r="D43" s="1" t="s">
        <v>44</v>
      </c>
      <c r="E43" s="1" t="s">
        <v>8</v>
      </c>
      <c r="F43" s="1" t="s">
        <v>331</v>
      </c>
      <c r="G43" s="1" t="s">
        <v>327</v>
      </c>
      <c r="H43" s="1">
        <v>2014</v>
      </c>
      <c r="I43" s="1" t="s">
        <v>36</v>
      </c>
      <c r="J43" s="1" t="s">
        <v>51</v>
      </c>
      <c r="K43" s="1">
        <v>450</v>
      </c>
      <c r="L43" s="1" t="s">
        <v>434</v>
      </c>
      <c r="M43" s="1" t="s">
        <v>413</v>
      </c>
      <c r="N43" s="1" t="s">
        <v>329</v>
      </c>
      <c r="O43" s="1" t="s">
        <v>44</v>
      </c>
      <c r="P43" s="1" t="s">
        <v>20</v>
      </c>
      <c r="Q43" s="1" t="s">
        <v>518</v>
      </c>
      <c r="R43" s="1" t="s">
        <v>47</v>
      </c>
      <c r="S43" s="1" t="s">
        <v>21</v>
      </c>
      <c r="T43" s="1" t="s">
        <v>43</v>
      </c>
      <c r="U43" s="1" t="s">
        <v>41</v>
      </c>
      <c r="V43" s="1" t="s">
        <v>44</v>
      </c>
      <c r="W43" s="1" t="s">
        <v>394</v>
      </c>
      <c r="X43" s="1" t="s">
        <v>377</v>
      </c>
      <c r="Y43" s="1" t="s">
        <v>394</v>
      </c>
      <c r="Z43" s="1" t="s">
        <v>394</v>
      </c>
      <c r="AA43" s="1" t="s">
        <v>394</v>
      </c>
      <c r="AB43" s="3" t="s">
        <v>394</v>
      </c>
      <c r="AC43" s="1" t="str">
        <f t="shared" si="0"/>
        <v>No</v>
      </c>
      <c r="AD43" s="1" t="s">
        <v>394</v>
      </c>
      <c r="AE43" s="1" t="s">
        <v>394</v>
      </c>
      <c r="AF43" s="1" t="s">
        <v>394</v>
      </c>
      <c r="AG43" s="1" t="s">
        <v>394</v>
      </c>
      <c r="AH43" s="1" t="s">
        <v>394</v>
      </c>
      <c r="AI43" s="1" t="s">
        <v>394</v>
      </c>
      <c r="AJ43" s="1" t="s">
        <v>394</v>
      </c>
      <c r="AK43" s="1" t="s">
        <v>394</v>
      </c>
      <c r="AL43" s="1" t="s">
        <v>394</v>
      </c>
      <c r="AM43" s="1" t="str">
        <f t="shared" si="1"/>
        <v>OK</v>
      </c>
      <c r="AN43" s="1" t="s">
        <v>383</v>
      </c>
      <c r="AO43" s="1" t="s">
        <v>772</v>
      </c>
      <c r="AP43" s="1" t="s">
        <v>394</v>
      </c>
      <c r="AQ43" s="1" t="s">
        <v>394</v>
      </c>
      <c r="AR43" s="1" t="s">
        <v>394</v>
      </c>
      <c r="AS43" s="1" t="s">
        <v>377</v>
      </c>
      <c r="AT43" s="1" t="s">
        <v>377</v>
      </c>
      <c r="AU43" s="1" t="s">
        <v>394</v>
      </c>
      <c r="AV43" s="1" t="s">
        <v>377</v>
      </c>
      <c r="AW43" s="1" t="s">
        <v>377</v>
      </c>
      <c r="AX43" s="1" t="s">
        <v>378</v>
      </c>
      <c r="AY43" s="1" t="s">
        <v>394</v>
      </c>
      <c r="AZ43" s="1" t="s">
        <v>377</v>
      </c>
      <c r="BA43" s="1" t="s">
        <v>825</v>
      </c>
      <c r="BB43" s="1" t="s">
        <v>377</v>
      </c>
      <c r="BC43" s="1" t="s">
        <v>377</v>
      </c>
      <c r="BD43" s="1" t="s">
        <v>394</v>
      </c>
      <c r="BE43" s="1" t="s">
        <v>377</v>
      </c>
      <c r="BF43" s="1" t="s">
        <v>377</v>
      </c>
      <c r="BH43" s="1" t="s">
        <v>785</v>
      </c>
      <c r="BI43" s="1" t="s">
        <v>394</v>
      </c>
      <c r="BJ43" s="1" t="s">
        <v>394</v>
      </c>
      <c r="BK43" s="1" t="s">
        <v>394</v>
      </c>
    </row>
    <row r="44" spans="1:63" x14ac:dyDescent="0.25">
      <c r="A44" s="1">
        <v>43</v>
      </c>
      <c r="B44" s="1" t="s">
        <v>113</v>
      </c>
      <c r="C44" s="1" t="s">
        <v>333</v>
      </c>
      <c r="D44" s="1" t="s">
        <v>44</v>
      </c>
      <c r="E44" s="1" t="s">
        <v>8</v>
      </c>
      <c r="F44" s="1" t="s">
        <v>332</v>
      </c>
      <c r="G44" s="1" t="s">
        <v>420</v>
      </c>
      <c r="H44" s="1">
        <v>2016</v>
      </c>
      <c r="I44" s="1" t="s">
        <v>34</v>
      </c>
      <c r="J44" s="1" t="s">
        <v>51</v>
      </c>
      <c r="K44" s="1">
        <v>273</v>
      </c>
      <c r="L44" s="1" t="s">
        <v>475</v>
      </c>
      <c r="M44" s="1" t="s">
        <v>47</v>
      </c>
      <c r="N44" s="1" t="s">
        <v>466</v>
      </c>
      <c r="O44" s="1" t="s">
        <v>44</v>
      </c>
      <c r="P44" s="1" t="s">
        <v>20</v>
      </c>
      <c r="Q44" s="1" t="s">
        <v>466</v>
      </c>
      <c r="R44" s="1" t="s">
        <v>47</v>
      </c>
      <c r="S44" s="1" t="s">
        <v>21</v>
      </c>
      <c r="T44" s="1" t="s">
        <v>8</v>
      </c>
      <c r="U44" s="1" t="s">
        <v>209</v>
      </c>
      <c r="V44" s="1" t="s">
        <v>44</v>
      </c>
      <c r="W44" s="1" t="s">
        <v>377</v>
      </c>
      <c r="X44" s="1" t="s">
        <v>394</v>
      </c>
      <c r="Y44" s="1" t="s">
        <v>394</v>
      </c>
      <c r="Z44" s="1" t="s">
        <v>377</v>
      </c>
      <c r="AA44" s="1" t="s">
        <v>394</v>
      </c>
      <c r="AB44" s="3" t="s">
        <v>394</v>
      </c>
      <c r="AC44" s="1" t="str">
        <f t="shared" si="0"/>
        <v>Yes</v>
      </c>
      <c r="AD44" s="1" t="s">
        <v>394</v>
      </c>
      <c r="AE44" s="1" t="s">
        <v>394</v>
      </c>
      <c r="AF44" s="1" t="s">
        <v>394</v>
      </c>
      <c r="AG44" s="1" t="s">
        <v>394</v>
      </c>
      <c r="AH44" s="1" t="s">
        <v>394</v>
      </c>
      <c r="AI44" s="1" t="s">
        <v>394</v>
      </c>
      <c r="AJ44" s="1" t="s">
        <v>394</v>
      </c>
      <c r="AK44" s="1" t="s">
        <v>394</v>
      </c>
      <c r="AL44" s="1" t="s">
        <v>394</v>
      </c>
      <c r="AM44" s="1" t="str">
        <f t="shared" si="1"/>
        <v>OK</v>
      </c>
      <c r="AN44" s="1" t="s">
        <v>383</v>
      </c>
      <c r="AO44" s="1" t="s">
        <v>384</v>
      </c>
      <c r="AP44" s="1" t="s">
        <v>394</v>
      </c>
      <c r="AQ44" s="1" t="s">
        <v>394</v>
      </c>
      <c r="AR44" s="1" t="s">
        <v>394</v>
      </c>
      <c r="AS44" s="1" t="s">
        <v>377</v>
      </c>
      <c r="AT44" s="1" t="s">
        <v>377</v>
      </c>
      <c r="AU44" s="1" t="s">
        <v>394</v>
      </c>
      <c r="AV44" s="1" t="s">
        <v>377</v>
      </c>
      <c r="AW44" s="1" t="s">
        <v>394</v>
      </c>
      <c r="AX44" s="1" t="s">
        <v>377</v>
      </c>
      <c r="AY44" s="1" t="s">
        <v>394</v>
      </c>
      <c r="AZ44" s="1" t="s">
        <v>394</v>
      </c>
      <c r="BA44" s="1" t="s">
        <v>825</v>
      </c>
      <c r="BB44" s="1" t="s">
        <v>377</v>
      </c>
      <c r="BC44" s="1" t="s">
        <v>377</v>
      </c>
      <c r="BD44" s="1" t="s">
        <v>377</v>
      </c>
      <c r="BE44" s="1" t="s">
        <v>825</v>
      </c>
      <c r="BF44" s="1" t="s">
        <v>394</v>
      </c>
      <c r="BH44" s="1" t="s">
        <v>785</v>
      </c>
      <c r="BI44" s="1" t="s">
        <v>394</v>
      </c>
      <c r="BJ44" s="1" t="s">
        <v>394</v>
      </c>
      <c r="BK44" s="1" t="s">
        <v>394</v>
      </c>
    </row>
    <row r="45" spans="1:63" x14ac:dyDescent="0.25">
      <c r="A45" s="1">
        <v>44</v>
      </c>
      <c r="B45" s="1" t="s">
        <v>114</v>
      </c>
      <c r="C45" s="1" t="s">
        <v>335</v>
      </c>
      <c r="D45" s="1" t="s">
        <v>44</v>
      </c>
      <c r="E45" s="1" t="s">
        <v>8</v>
      </c>
      <c r="F45" s="1" t="s">
        <v>337</v>
      </c>
      <c r="G45" s="1" t="s">
        <v>56</v>
      </c>
      <c r="H45" s="1">
        <v>2022</v>
      </c>
      <c r="I45" s="1" t="s">
        <v>336</v>
      </c>
      <c r="J45" s="1" t="s">
        <v>51</v>
      </c>
      <c r="K45" s="1">
        <v>297</v>
      </c>
      <c r="L45" s="1" t="s">
        <v>338</v>
      </c>
      <c r="M45" s="1">
        <v>23</v>
      </c>
      <c r="N45" s="1" t="s">
        <v>334</v>
      </c>
      <c r="O45" s="1" t="s">
        <v>44</v>
      </c>
      <c r="P45" s="1" t="s">
        <v>230</v>
      </c>
      <c r="Q45" s="1" t="s">
        <v>518</v>
      </c>
      <c r="R45" s="1" t="s">
        <v>415</v>
      </c>
      <c r="S45" s="1" t="s">
        <v>57</v>
      </c>
      <c r="T45" s="1" t="s">
        <v>43</v>
      </c>
      <c r="U45" s="1" t="s">
        <v>299</v>
      </c>
      <c r="V45" s="1" t="s">
        <v>44</v>
      </c>
      <c r="W45" s="1" t="s">
        <v>394</v>
      </c>
      <c r="X45" s="1" t="s">
        <v>377</v>
      </c>
      <c r="Y45" s="1" t="s">
        <v>394</v>
      </c>
      <c r="Z45" s="1" t="s">
        <v>394</v>
      </c>
      <c r="AA45" s="1" t="s">
        <v>394</v>
      </c>
      <c r="AB45" s="3" t="s">
        <v>394</v>
      </c>
      <c r="AC45" s="1" t="str">
        <f t="shared" si="0"/>
        <v>No</v>
      </c>
      <c r="AD45" s="1" t="s">
        <v>394</v>
      </c>
      <c r="AE45" s="1" t="s">
        <v>394</v>
      </c>
      <c r="AF45" s="1" t="s">
        <v>394</v>
      </c>
      <c r="AG45" s="1" t="s">
        <v>394</v>
      </c>
      <c r="AH45" s="1" t="s">
        <v>394</v>
      </c>
      <c r="AI45" s="1" t="s">
        <v>394</v>
      </c>
      <c r="AJ45" s="1" t="s">
        <v>394</v>
      </c>
      <c r="AK45" s="1" t="s">
        <v>394</v>
      </c>
      <c r="AL45" s="1" t="s">
        <v>394</v>
      </c>
      <c r="AM45" s="1" t="str">
        <f t="shared" si="1"/>
        <v>OK</v>
      </c>
      <c r="AN45" s="1" t="s">
        <v>383</v>
      </c>
      <c r="AO45" s="1" t="s">
        <v>387</v>
      </c>
      <c r="AP45" s="1" t="s">
        <v>377</v>
      </c>
      <c r="AQ45" s="1" t="s">
        <v>394</v>
      </c>
      <c r="AR45" s="1" t="s">
        <v>394</v>
      </c>
      <c r="AS45" s="1" t="s">
        <v>377</v>
      </c>
      <c r="AT45" s="1" t="s">
        <v>377</v>
      </c>
      <c r="AU45" s="1" t="s">
        <v>394</v>
      </c>
      <c r="AV45" s="1" t="s">
        <v>377</v>
      </c>
      <c r="AW45" s="1" t="s">
        <v>378</v>
      </c>
      <c r="AX45" s="1" t="s">
        <v>378</v>
      </c>
      <c r="AY45" s="1" t="s">
        <v>394</v>
      </c>
      <c r="AZ45" s="1" t="s">
        <v>394</v>
      </c>
      <c r="BA45" s="1" t="s">
        <v>825</v>
      </c>
      <c r="BB45" s="1" t="s">
        <v>377</v>
      </c>
      <c r="BC45" s="1" t="s">
        <v>377</v>
      </c>
      <c r="BD45" s="1" t="s">
        <v>377</v>
      </c>
      <c r="BE45" s="1" t="s">
        <v>377</v>
      </c>
      <c r="BF45" s="1" t="s">
        <v>377</v>
      </c>
      <c r="BH45" s="1" t="s">
        <v>785</v>
      </c>
      <c r="BI45" s="1" t="s">
        <v>394</v>
      </c>
      <c r="BJ45" s="1" t="s">
        <v>394</v>
      </c>
      <c r="BK45" s="1" t="s">
        <v>394</v>
      </c>
    </row>
    <row r="46" spans="1:63" x14ac:dyDescent="0.25">
      <c r="A46" s="1">
        <v>45</v>
      </c>
      <c r="B46" s="1" t="s">
        <v>115</v>
      </c>
      <c r="C46" s="1" t="s">
        <v>341</v>
      </c>
      <c r="D46" s="1" t="s">
        <v>44</v>
      </c>
      <c r="E46" s="1" t="s">
        <v>8</v>
      </c>
      <c r="F46" s="1" t="s">
        <v>340</v>
      </c>
      <c r="G46" s="1" t="s">
        <v>443</v>
      </c>
      <c r="H46" s="1">
        <v>2019</v>
      </c>
      <c r="I46" s="1" t="s">
        <v>339</v>
      </c>
      <c r="J46" s="1" t="s">
        <v>51</v>
      </c>
      <c r="K46" s="1">
        <v>64</v>
      </c>
      <c r="L46" s="1" t="s">
        <v>475</v>
      </c>
      <c r="M46" s="1" t="s">
        <v>416</v>
      </c>
      <c r="N46" s="1" t="s">
        <v>466</v>
      </c>
      <c r="O46" s="1" t="s">
        <v>44</v>
      </c>
      <c r="P46" s="1" t="s">
        <v>20</v>
      </c>
      <c r="Q46" s="1" t="s">
        <v>466</v>
      </c>
      <c r="R46" s="1" t="s">
        <v>47</v>
      </c>
      <c r="S46" s="1" t="s">
        <v>21</v>
      </c>
      <c r="T46" s="1" t="s">
        <v>8</v>
      </c>
      <c r="U46" s="1" t="s">
        <v>62</v>
      </c>
      <c r="V46" s="1" t="s">
        <v>44</v>
      </c>
      <c r="W46" s="1" t="s">
        <v>377</v>
      </c>
      <c r="X46" s="1" t="s">
        <v>394</v>
      </c>
      <c r="Y46" s="1" t="s">
        <v>394</v>
      </c>
      <c r="Z46" s="1" t="s">
        <v>377</v>
      </c>
      <c r="AA46" s="1" t="s">
        <v>394</v>
      </c>
      <c r="AB46" s="3" t="s">
        <v>394</v>
      </c>
      <c r="AC46" s="1" t="str">
        <f t="shared" si="0"/>
        <v>Yes</v>
      </c>
      <c r="AD46" s="1" t="s">
        <v>394</v>
      </c>
      <c r="AE46" s="1" t="s">
        <v>394</v>
      </c>
      <c r="AF46" s="1" t="s">
        <v>394</v>
      </c>
      <c r="AG46" s="1" t="s">
        <v>394</v>
      </c>
      <c r="AH46" s="1" t="s">
        <v>394</v>
      </c>
      <c r="AI46" s="1" t="s">
        <v>394</v>
      </c>
      <c r="AJ46" s="1" t="s">
        <v>394</v>
      </c>
      <c r="AK46" s="1" t="s">
        <v>394</v>
      </c>
      <c r="AL46" s="1" t="s">
        <v>394</v>
      </c>
      <c r="AM46" s="1" t="str">
        <f t="shared" si="1"/>
        <v>OK</v>
      </c>
      <c r="AN46" s="1" t="s">
        <v>383</v>
      </c>
      <c r="AO46" s="1" t="s">
        <v>396</v>
      </c>
      <c r="AP46" s="1" t="s">
        <v>394</v>
      </c>
      <c r="AQ46" s="1" t="s">
        <v>394</v>
      </c>
      <c r="AR46" s="1" t="s">
        <v>394</v>
      </c>
      <c r="AS46" s="1" t="s">
        <v>377</v>
      </c>
      <c r="AT46" s="1" t="s">
        <v>377</v>
      </c>
      <c r="AU46" s="1" t="s">
        <v>394</v>
      </c>
      <c r="AV46" s="1" t="s">
        <v>377</v>
      </c>
      <c r="AW46" s="1" t="s">
        <v>394</v>
      </c>
      <c r="AX46" s="1" t="s">
        <v>378</v>
      </c>
      <c r="AY46" s="1" t="s">
        <v>394</v>
      </c>
      <c r="AZ46" s="1" t="s">
        <v>394</v>
      </c>
      <c r="BA46" s="1" t="s">
        <v>394</v>
      </c>
      <c r="BB46" s="1" t="s">
        <v>377</v>
      </c>
      <c r="BC46" s="1" t="s">
        <v>377</v>
      </c>
      <c r="BD46" s="1" t="s">
        <v>377</v>
      </c>
      <c r="BE46" s="1" t="s">
        <v>825</v>
      </c>
      <c r="BF46" s="1" t="s">
        <v>394</v>
      </c>
      <c r="BH46" s="1" t="s">
        <v>785</v>
      </c>
      <c r="BI46" s="1" t="s">
        <v>394</v>
      </c>
      <c r="BJ46" s="1" t="s">
        <v>394</v>
      </c>
      <c r="BK46" s="1" t="s">
        <v>394</v>
      </c>
    </row>
    <row r="47" spans="1:63" x14ac:dyDescent="0.25">
      <c r="A47" s="1">
        <v>46</v>
      </c>
      <c r="B47" s="1" t="s">
        <v>116</v>
      </c>
      <c r="C47" s="1" t="s">
        <v>343</v>
      </c>
      <c r="D47" s="1" t="s">
        <v>44</v>
      </c>
      <c r="E47" s="1" t="s">
        <v>8</v>
      </c>
      <c r="F47" s="1" t="s">
        <v>342</v>
      </c>
      <c r="G47" s="1" t="s">
        <v>417</v>
      </c>
      <c r="H47" s="1">
        <v>2019</v>
      </c>
      <c r="I47" s="1" t="s">
        <v>34</v>
      </c>
      <c r="J47" s="1" t="s">
        <v>51</v>
      </c>
      <c r="K47" s="1">
        <v>34</v>
      </c>
      <c r="L47" s="1" t="s">
        <v>475</v>
      </c>
      <c r="M47" s="1" t="s">
        <v>47</v>
      </c>
      <c r="N47" s="1" t="s">
        <v>466</v>
      </c>
      <c r="O47" s="1" t="s">
        <v>44</v>
      </c>
      <c r="P47" s="1" t="s">
        <v>20</v>
      </c>
      <c r="Q47" s="1" t="s">
        <v>466</v>
      </c>
      <c r="R47" s="1" t="s">
        <v>47</v>
      </c>
      <c r="S47" s="1" t="s">
        <v>21</v>
      </c>
      <c r="T47" s="1" t="s">
        <v>43</v>
      </c>
      <c r="U47" s="1" t="s">
        <v>209</v>
      </c>
      <c r="V47" s="1" t="s">
        <v>44</v>
      </c>
      <c r="W47" s="1" t="s">
        <v>377</v>
      </c>
      <c r="X47" s="1" t="s">
        <v>394</v>
      </c>
      <c r="Y47" s="1" t="s">
        <v>394</v>
      </c>
      <c r="Z47" s="1" t="s">
        <v>394</v>
      </c>
      <c r="AA47" s="1" t="s">
        <v>394</v>
      </c>
      <c r="AB47" s="3" t="s">
        <v>394</v>
      </c>
      <c r="AC47" s="1" t="str">
        <f t="shared" si="0"/>
        <v>No</v>
      </c>
      <c r="AD47" s="1" t="s">
        <v>394</v>
      </c>
      <c r="AE47" s="1" t="s">
        <v>394</v>
      </c>
      <c r="AF47" s="1" t="s">
        <v>394</v>
      </c>
      <c r="AG47" s="1" t="s">
        <v>394</v>
      </c>
      <c r="AH47" s="1" t="s">
        <v>394</v>
      </c>
      <c r="AI47" s="1" t="s">
        <v>394</v>
      </c>
      <c r="AJ47" s="1" t="s">
        <v>394</v>
      </c>
      <c r="AK47" s="1" t="s">
        <v>394</v>
      </c>
      <c r="AL47" s="1" t="s">
        <v>394</v>
      </c>
      <c r="AM47" s="1" t="str">
        <f t="shared" si="1"/>
        <v>OK</v>
      </c>
      <c r="AN47" s="1" t="s">
        <v>383</v>
      </c>
      <c r="AO47" s="1" t="s">
        <v>384</v>
      </c>
      <c r="AP47" s="1" t="s">
        <v>394</v>
      </c>
      <c r="AQ47" s="1" t="s">
        <v>394</v>
      </c>
      <c r="AR47" s="1" t="s">
        <v>394</v>
      </c>
      <c r="AS47" s="1" t="s">
        <v>377</v>
      </c>
      <c r="AT47" s="1" t="s">
        <v>377</v>
      </c>
      <c r="AU47" s="1" t="s">
        <v>394</v>
      </c>
      <c r="AV47" s="1" t="s">
        <v>377</v>
      </c>
      <c r="AW47" s="1" t="s">
        <v>394</v>
      </c>
      <c r="AX47" s="1" t="s">
        <v>378</v>
      </c>
      <c r="AY47" s="1" t="s">
        <v>394</v>
      </c>
      <c r="AZ47" s="1" t="s">
        <v>394</v>
      </c>
      <c r="BA47" s="1" t="s">
        <v>825</v>
      </c>
      <c r="BB47" s="1" t="s">
        <v>377</v>
      </c>
      <c r="BC47" s="1" t="s">
        <v>825</v>
      </c>
      <c r="BD47" s="1" t="s">
        <v>825</v>
      </c>
      <c r="BE47" s="1" t="s">
        <v>394</v>
      </c>
      <c r="BF47" s="1" t="s">
        <v>394</v>
      </c>
      <c r="BH47" s="1" t="s">
        <v>785</v>
      </c>
      <c r="BI47" s="1" t="s">
        <v>394</v>
      </c>
      <c r="BJ47" s="1" t="s">
        <v>394</v>
      </c>
      <c r="BK47" s="1" t="s">
        <v>394</v>
      </c>
    </row>
    <row r="48" spans="1:63" x14ac:dyDescent="0.25">
      <c r="A48" s="1">
        <v>47</v>
      </c>
      <c r="B48" s="1" t="s">
        <v>117</v>
      </c>
      <c r="C48" s="1" t="s">
        <v>348</v>
      </c>
      <c r="D48" s="1" t="s">
        <v>44</v>
      </c>
      <c r="E48" s="1" t="s">
        <v>8</v>
      </c>
      <c r="F48" s="1" t="s">
        <v>344</v>
      </c>
      <c r="G48" s="1" t="s">
        <v>420</v>
      </c>
      <c r="H48" s="1">
        <v>2022</v>
      </c>
      <c r="I48" s="1" t="s">
        <v>339</v>
      </c>
      <c r="J48" s="1" t="s">
        <v>51</v>
      </c>
      <c r="K48" s="1">
        <v>101</v>
      </c>
      <c r="L48" s="1" t="s">
        <v>475</v>
      </c>
      <c r="M48" s="1" t="s">
        <v>418</v>
      </c>
      <c r="N48" s="1" t="s">
        <v>466</v>
      </c>
      <c r="O48" s="1" t="s">
        <v>44</v>
      </c>
      <c r="P48" s="1" t="s">
        <v>20</v>
      </c>
      <c r="Q48" s="1" t="s">
        <v>466</v>
      </c>
      <c r="R48" s="1" t="s">
        <v>47</v>
      </c>
      <c r="S48" s="1" t="s">
        <v>21</v>
      </c>
      <c r="T48" s="1" t="s">
        <v>43</v>
      </c>
      <c r="U48" s="1" t="s">
        <v>209</v>
      </c>
      <c r="V48" s="1" t="s">
        <v>44</v>
      </c>
      <c r="W48" s="1" t="s">
        <v>377</v>
      </c>
      <c r="X48" s="1" t="s">
        <v>394</v>
      </c>
      <c r="Y48" s="1" t="s">
        <v>394</v>
      </c>
      <c r="Z48" s="1" t="s">
        <v>394</v>
      </c>
      <c r="AA48" s="1" t="s">
        <v>394</v>
      </c>
      <c r="AB48" s="3" t="s">
        <v>394</v>
      </c>
      <c r="AC48" s="1" t="str">
        <f t="shared" si="0"/>
        <v>No</v>
      </c>
      <c r="AD48" s="1" t="s">
        <v>394</v>
      </c>
      <c r="AE48" s="1" t="s">
        <v>394</v>
      </c>
      <c r="AF48" s="1" t="s">
        <v>394</v>
      </c>
      <c r="AG48" s="1" t="s">
        <v>394</v>
      </c>
      <c r="AH48" s="1" t="s">
        <v>394</v>
      </c>
      <c r="AI48" s="1" t="s">
        <v>394</v>
      </c>
      <c r="AJ48" s="1" t="s">
        <v>394</v>
      </c>
      <c r="AK48" s="1" t="s">
        <v>394</v>
      </c>
      <c r="AL48" s="1" t="s">
        <v>394</v>
      </c>
      <c r="AM48" s="1" t="str">
        <f t="shared" si="1"/>
        <v>OK</v>
      </c>
      <c r="AN48" s="1" t="s">
        <v>383</v>
      </c>
      <c r="AO48" s="1" t="s">
        <v>774</v>
      </c>
      <c r="AP48" s="1" t="s">
        <v>394</v>
      </c>
      <c r="AQ48" s="1" t="s">
        <v>394</v>
      </c>
      <c r="AR48" s="1" t="s">
        <v>394</v>
      </c>
      <c r="AS48" s="1" t="s">
        <v>377</v>
      </c>
      <c r="AT48" s="1" t="s">
        <v>377</v>
      </c>
      <c r="AU48" s="1" t="s">
        <v>394</v>
      </c>
      <c r="AV48" s="1" t="s">
        <v>377</v>
      </c>
      <c r="AW48" s="1" t="s">
        <v>394</v>
      </c>
      <c r="AX48" s="1" t="s">
        <v>377</v>
      </c>
      <c r="AY48" s="1" t="s">
        <v>394</v>
      </c>
      <c r="AZ48" s="1" t="s">
        <v>394</v>
      </c>
      <c r="BA48" s="1" t="s">
        <v>825</v>
      </c>
      <c r="BB48" s="1" t="s">
        <v>377</v>
      </c>
      <c r="BC48" s="1" t="s">
        <v>825</v>
      </c>
      <c r="BD48" s="1" t="s">
        <v>825</v>
      </c>
      <c r="BE48" s="1" t="s">
        <v>394</v>
      </c>
      <c r="BF48" s="1" t="s">
        <v>394</v>
      </c>
      <c r="BH48" s="1" t="s">
        <v>785</v>
      </c>
      <c r="BI48" s="1" t="s">
        <v>394</v>
      </c>
      <c r="BJ48" s="1" t="s">
        <v>394</v>
      </c>
      <c r="BK48" s="1" t="s">
        <v>394</v>
      </c>
    </row>
    <row r="49" spans="1:63" x14ac:dyDescent="0.25">
      <c r="A49" s="1">
        <v>48</v>
      </c>
      <c r="B49" s="1" t="s">
        <v>118</v>
      </c>
      <c r="C49" s="1" t="s">
        <v>347</v>
      </c>
      <c r="D49" s="1" t="s">
        <v>44</v>
      </c>
      <c r="E49" s="1" t="s">
        <v>8</v>
      </c>
      <c r="F49" s="1" t="s">
        <v>346</v>
      </c>
      <c r="G49" s="1" t="s">
        <v>420</v>
      </c>
      <c r="H49" s="1">
        <v>2021</v>
      </c>
      <c r="I49" s="1" t="s">
        <v>34</v>
      </c>
      <c r="J49" s="1" t="s">
        <v>51</v>
      </c>
      <c r="K49" s="1">
        <v>94</v>
      </c>
      <c r="L49" s="1" t="s">
        <v>475</v>
      </c>
      <c r="M49" s="1" t="s">
        <v>345</v>
      </c>
      <c r="N49" s="1" t="s">
        <v>466</v>
      </c>
      <c r="O49" s="1" t="s">
        <v>44</v>
      </c>
      <c r="P49" s="1" t="s">
        <v>20</v>
      </c>
      <c r="Q49" s="1" t="s">
        <v>466</v>
      </c>
      <c r="R49" s="1" t="s">
        <v>47</v>
      </c>
      <c r="S49" s="1" t="s">
        <v>21</v>
      </c>
      <c r="T49" s="1" t="s">
        <v>43</v>
      </c>
      <c r="U49" s="1" t="s">
        <v>419</v>
      </c>
      <c r="V49" s="1" t="s">
        <v>44</v>
      </c>
      <c r="W49" s="1" t="s">
        <v>377</v>
      </c>
      <c r="X49" s="1" t="s">
        <v>394</v>
      </c>
      <c r="Y49" s="1" t="s">
        <v>394</v>
      </c>
      <c r="Z49" s="1" t="s">
        <v>377</v>
      </c>
      <c r="AA49" s="1" t="s">
        <v>394</v>
      </c>
      <c r="AB49" s="3" t="s">
        <v>394</v>
      </c>
      <c r="AC49" s="1" t="str">
        <f t="shared" si="0"/>
        <v>Yes</v>
      </c>
      <c r="AD49" s="1" t="s">
        <v>394</v>
      </c>
      <c r="AE49" s="1" t="s">
        <v>394</v>
      </c>
      <c r="AF49" s="1" t="s">
        <v>394</v>
      </c>
      <c r="AG49" s="1" t="s">
        <v>394</v>
      </c>
      <c r="AH49" s="1" t="s">
        <v>394</v>
      </c>
      <c r="AI49" s="1" t="s">
        <v>394</v>
      </c>
      <c r="AJ49" s="1" t="s">
        <v>394</v>
      </c>
      <c r="AK49" s="1" t="s">
        <v>394</v>
      </c>
      <c r="AL49" s="1" t="s">
        <v>394</v>
      </c>
      <c r="AM49" s="1" t="str">
        <f t="shared" si="1"/>
        <v>OK</v>
      </c>
      <c r="AN49" s="1" t="s">
        <v>383</v>
      </c>
      <c r="AO49" s="1" t="s">
        <v>405</v>
      </c>
      <c r="AP49" s="1" t="s">
        <v>394</v>
      </c>
      <c r="AQ49" s="1" t="s">
        <v>394</v>
      </c>
      <c r="AR49" s="1" t="s">
        <v>394</v>
      </c>
      <c r="AS49" s="1" t="s">
        <v>377</v>
      </c>
      <c r="AT49" s="1" t="s">
        <v>378</v>
      </c>
      <c r="AU49" s="1" t="s">
        <v>394</v>
      </c>
      <c r="AV49" s="1" t="s">
        <v>377</v>
      </c>
      <c r="AW49" s="1" t="s">
        <v>394</v>
      </c>
      <c r="AX49" s="1" t="s">
        <v>378</v>
      </c>
      <c r="AY49" s="1" t="s">
        <v>394</v>
      </c>
      <c r="AZ49" s="1" t="s">
        <v>377</v>
      </c>
      <c r="BA49" s="1" t="s">
        <v>825</v>
      </c>
      <c r="BB49" s="1" t="s">
        <v>377</v>
      </c>
      <c r="BC49" s="1" t="s">
        <v>377</v>
      </c>
      <c r="BD49" s="1" t="s">
        <v>377</v>
      </c>
      <c r="BE49" s="1" t="s">
        <v>377</v>
      </c>
      <c r="BF49" s="1" t="s">
        <v>377</v>
      </c>
      <c r="BH49" s="1" t="s">
        <v>785</v>
      </c>
      <c r="BI49" s="1" t="s">
        <v>394</v>
      </c>
      <c r="BJ49" s="1" t="s">
        <v>394</v>
      </c>
      <c r="BK49" s="1" t="s">
        <v>394</v>
      </c>
    </row>
    <row r="50" spans="1:63" x14ac:dyDescent="0.25">
      <c r="A50" s="1">
        <v>49</v>
      </c>
      <c r="B50" s="1" t="s">
        <v>119</v>
      </c>
      <c r="C50" s="1" t="s">
        <v>354</v>
      </c>
      <c r="D50" s="1" t="s">
        <v>44</v>
      </c>
      <c r="E50" s="1" t="s">
        <v>8</v>
      </c>
      <c r="F50" s="1" t="s">
        <v>349</v>
      </c>
      <c r="G50" s="1" t="s">
        <v>56</v>
      </c>
      <c r="H50" s="1">
        <v>2022</v>
      </c>
      <c r="I50" s="1" t="s">
        <v>242</v>
      </c>
      <c r="J50" s="1" t="s">
        <v>51</v>
      </c>
      <c r="K50" s="1">
        <v>190</v>
      </c>
      <c r="L50" s="1" t="s">
        <v>475</v>
      </c>
      <c r="M50" s="1" t="s">
        <v>47</v>
      </c>
      <c r="N50" s="1" t="s">
        <v>466</v>
      </c>
      <c r="O50" s="1" t="s">
        <v>44</v>
      </c>
      <c r="P50" s="1" t="s">
        <v>20</v>
      </c>
      <c r="Q50" s="1" t="s">
        <v>466</v>
      </c>
      <c r="R50" s="1" t="s">
        <v>47</v>
      </c>
      <c r="S50" s="1" t="s">
        <v>21</v>
      </c>
      <c r="T50" s="1" t="s">
        <v>43</v>
      </c>
      <c r="U50" s="1" t="s">
        <v>209</v>
      </c>
      <c r="V50" s="1" t="s">
        <v>44</v>
      </c>
      <c r="W50" s="1" t="s">
        <v>377</v>
      </c>
      <c r="X50" s="1" t="s">
        <v>394</v>
      </c>
      <c r="Y50" s="1" t="s">
        <v>394</v>
      </c>
      <c r="Z50" s="1" t="s">
        <v>394</v>
      </c>
      <c r="AA50" s="1" t="s">
        <v>394</v>
      </c>
      <c r="AB50" s="3" t="s">
        <v>394</v>
      </c>
      <c r="AC50" s="1" t="str">
        <f t="shared" si="0"/>
        <v>No</v>
      </c>
      <c r="AD50" s="1" t="s">
        <v>394</v>
      </c>
      <c r="AE50" s="1" t="s">
        <v>394</v>
      </c>
      <c r="AF50" s="1" t="s">
        <v>394</v>
      </c>
      <c r="AG50" s="1" t="s">
        <v>394</v>
      </c>
      <c r="AH50" s="1" t="s">
        <v>377</v>
      </c>
      <c r="AI50" s="1" t="s">
        <v>394</v>
      </c>
      <c r="AJ50" s="1" t="s">
        <v>394</v>
      </c>
      <c r="AK50" s="1" t="s">
        <v>394</v>
      </c>
      <c r="AL50" s="1" t="s">
        <v>394</v>
      </c>
      <c r="AM50" s="1" t="str">
        <f t="shared" si="1"/>
        <v>OK</v>
      </c>
      <c r="AN50" s="1" t="s">
        <v>383</v>
      </c>
      <c r="AO50" s="1" t="s">
        <v>387</v>
      </c>
      <c r="AP50" s="1" t="s">
        <v>394</v>
      </c>
      <c r="AQ50" s="1" t="s">
        <v>394</v>
      </c>
      <c r="AR50" s="1" t="s">
        <v>394</v>
      </c>
      <c r="AS50" s="1" t="s">
        <v>377</v>
      </c>
      <c r="AT50" s="1" t="s">
        <v>377</v>
      </c>
      <c r="AU50" s="1" t="s">
        <v>377</v>
      </c>
      <c r="AV50" s="1" t="s">
        <v>377</v>
      </c>
      <c r="AW50" s="1" t="s">
        <v>394</v>
      </c>
      <c r="AX50" s="1" t="s">
        <v>378</v>
      </c>
      <c r="AY50" s="1" t="s">
        <v>394</v>
      </c>
      <c r="AZ50" s="1" t="s">
        <v>377</v>
      </c>
      <c r="BA50" s="1" t="s">
        <v>377</v>
      </c>
      <c r="BB50" s="1" t="s">
        <v>377</v>
      </c>
      <c r="BC50" s="1" t="s">
        <v>377</v>
      </c>
      <c r="BD50" s="1" t="s">
        <v>377</v>
      </c>
      <c r="BE50" s="1" t="s">
        <v>377</v>
      </c>
      <c r="BF50" s="1" t="s">
        <v>377</v>
      </c>
      <c r="BH50" s="1" t="s">
        <v>802</v>
      </c>
      <c r="BI50" s="1" t="s">
        <v>394</v>
      </c>
      <c r="BJ50" s="1" t="s">
        <v>394</v>
      </c>
      <c r="BK50" s="1" t="s">
        <v>394</v>
      </c>
    </row>
    <row r="51" spans="1:63" x14ac:dyDescent="0.25">
      <c r="A51" s="1">
        <v>50</v>
      </c>
      <c r="B51" s="1" t="s">
        <v>120</v>
      </c>
      <c r="C51" s="1" t="s">
        <v>353</v>
      </c>
      <c r="D51" s="1" t="s">
        <v>44</v>
      </c>
      <c r="E51" s="1" t="s">
        <v>8</v>
      </c>
      <c r="F51" s="1" t="s">
        <v>352</v>
      </c>
      <c r="G51" s="1" t="s">
        <v>48</v>
      </c>
      <c r="H51" s="1">
        <v>2018</v>
      </c>
      <c r="I51" s="1" t="s">
        <v>219</v>
      </c>
      <c r="J51" s="1" t="s">
        <v>51</v>
      </c>
      <c r="K51" s="1">
        <v>85</v>
      </c>
      <c r="L51" s="1" t="s">
        <v>351</v>
      </c>
      <c r="M51" s="1" t="s">
        <v>47</v>
      </c>
      <c r="N51" s="1" t="s">
        <v>350</v>
      </c>
      <c r="O51" s="1" t="s">
        <v>44</v>
      </c>
      <c r="P51" s="1" t="s">
        <v>230</v>
      </c>
      <c r="Q51" s="1" t="s">
        <v>518</v>
      </c>
      <c r="R51" s="1" t="s">
        <v>47</v>
      </c>
      <c r="S51" s="1" t="s">
        <v>57</v>
      </c>
      <c r="T51" s="1" t="s">
        <v>8</v>
      </c>
      <c r="U51" s="1" t="s">
        <v>62</v>
      </c>
      <c r="V51" s="1" t="s">
        <v>44</v>
      </c>
      <c r="W51" s="1" t="s">
        <v>377</v>
      </c>
      <c r="X51" s="1" t="s">
        <v>394</v>
      </c>
      <c r="Y51" s="1" t="s">
        <v>394</v>
      </c>
      <c r="Z51" s="1" t="s">
        <v>394</v>
      </c>
      <c r="AA51" s="1" t="s">
        <v>394</v>
      </c>
      <c r="AB51" s="3" t="s">
        <v>394</v>
      </c>
      <c r="AC51" s="1" t="str">
        <f t="shared" si="0"/>
        <v>No</v>
      </c>
      <c r="AD51" s="1" t="s">
        <v>377</v>
      </c>
      <c r="AE51" s="1" t="s">
        <v>394</v>
      </c>
      <c r="AF51" s="1" t="s">
        <v>394</v>
      </c>
      <c r="AG51" s="1" t="s">
        <v>394</v>
      </c>
      <c r="AH51" s="1" t="s">
        <v>394</v>
      </c>
      <c r="AI51" s="1" t="s">
        <v>394</v>
      </c>
      <c r="AJ51" s="1" t="s">
        <v>394</v>
      </c>
      <c r="AK51" s="1" t="s">
        <v>394</v>
      </c>
      <c r="AL51" s="1" t="s">
        <v>394</v>
      </c>
      <c r="AM51" s="1" t="str">
        <f t="shared" si="1"/>
        <v>OK</v>
      </c>
      <c r="AN51" s="1" t="s">
        <v>383</v>
      </c>
      <c r="AO51" s="1" t="s">
        <v>396</v>
      </c>
      <c r="AP51" s="1" t="s">
        <v>394</v>
      </c>
      <c r="AQ51" s="1" t="s">
        <v>394</v>
      </c>
      <c r="AR51" s="1" t="s">
        <v>394</v>
      </c>
      <c r="AS51" s="1" t="s">
        <v>377</v>
      </c>
      <c r="AT51" s="1" t="s">
        <v>377</v>
      </c>
      <c r="AU51" s="1" t="s">
        <v>378</v>
      </c>
      <c r="AV51" s="1" t="s">
        <v>377</v>
      </c>
      <c r="AW51" s="1" t="s">
        <v>377</v>
      </c>
      <c r="AX51" s="1" t="s">
        <v>394</v>
      </c>
      <c r="AY51" s="1" t="s">
        <v>394</v>
      </c>
      <c r="AZ51" s="1" t="s">
        <v>394</v>
      </c>
      <c r="BA51" s="1" t="s">
        <v>377</v>
      </c>
      <c r="BB51" s="1" t="s">
        <v>377</v>
      </c>
      <c r="BC51" s="1" t="s">
        <v>394</v>
      </c>
      <c r="BD51" s="1" t="s">
        <v>394</v>
      </c>
      <c r="BE51" s="1" t="s">
        <v>825</v>
      </c>
      <c r="BF51" s="1" t="s">
        <v>377</v>
      </c>
      <c r="BH51" s="1" t="s">
        <v>785</v>
      </c>
      <c r="BI51" s="1" t="s">
        <v>394</v>
      </c>
      <c r="BJ51" s="1" t="s">
        <v>377</v>
      </c>
      <c r="BK51" s="1" t="s">
        <v>394</v>
      </c>
    </row>
    <row r="52" spans="1:63" x14ac:dyDescent="0.25">
      <c r="A52" s="1">
        <v>51</v>
      </c>
      <c r="B52" s="1" t="s">
        <v>121</v>
      </c>
      <c r="C52" s="1" t="s">
        <v>356</v>
      </c>
      <c r="D52" s="1" t="s">
        <v>44</v>
      </c>
      <c r="E52" s="1" t="s">
        <v>8</v>
      </c>
      <c r="F52" s="1" t="s">
        <v>355</v>
      </c>
      <c r="G52" s="1" t="s">
        <v>420</v>
      </c>
      <c r="H52" s="1">
        <v>2023</v>
      </c>
      <c r="I52" s="1" t="s">
        <v>34</v>
      </c>
      <c r="J52" s="1" t="s">
        <v>51</v>
      </c>
      <c r="K52" s="1">
        <v>101</v>
      </c>
      <c r="L52" s="1" t="s">
        <v>475</v>
      </c>
      <c r="M52" s="1" t="s">
        <v>421</v>
      </c>
      <c r="N52" s="1" t="s">
        <v>466</v>
      </c>
      <c r="O52" s="1" t="s">
        <v>44</v>
      </c>
      <c r="P52" s="1" t="s">
        <v>20</v>
      </c>
      <c r="Q52" s="1" t="s">
        <v>466</v>
      </c>
      <c r="R52" s="1" t="s">
        <v>47</v>
      </c>
      <c r="S52" s="1" t="s">
        <v>21</v>
      </c>
      <c r="T52" s="1" t="s">
        <v>43</v>
      </c>
      <c r="U52" s="1" t="s">
        <v>209</v>
      </c>
      <c r="V52" s="1" t="s">
        <v>44</v>
      </c>
      <c r="W52" s="1" t="s">
        <v>377</v>
      </c>
      <c r="X52" s="1" t="s">
        <v>394</v>
      </c>
      <c r="Y52" s="1" t="s">
        <v>394</v>
      </c>
      <c r="Z52" s="1" t="s">
        <v>394</v>
      </c>
      <c r="AA52" s="1" t="s">
        <v>394</v>
      </c>
      <c r="AB52" s="3" t="s">
        <v>394</v>
      </c>
      <c r="AC52" s="1" t="str">
        <f t="shared" si="0"/>
        <v>No</v>
      </c>
      <c r="AD52" s="1" t="s">
        <v>394</v>
      </c>
      <c r="AE52" s="1" t="s">
        <v>394</v>
      </c>
      <c r="AF52" s="1" t="s">
        <v>394</v>
      </c>
      <c r="AG52" s="1" t="s">
        <v>394</v>
      </c>
      <c r="AH52" s="1" t="s">
        <v>394</v>
      </c>
      <c r="AI52" s="1" t="s">
        <v>394</v>
      </c>
      <c r="AJ52" s="1" t="s">
        <v>394</v>
      </c>
      <c r="AK52" s="1" t="s">
        <v>394</v>
      </c>
      <c r="AL52" s="1" t="s">
        <v>394</v>
      </c>
      <c r="AM52" s="1" t="str">
        <f t="shared" si="1"/>
        <v>OK</v>
      </c>
      <c r="AN52" s="1" t="s">
        <v>383</v>
      </c>
      <c r="AO52" s="1" t="s">
        <v>384</v>
      </c>
      <c r="AP52" s="1" t="s">
        <v>394</v>
      </c>
      <c r="AQ52" s="1" t="s">
        <v>377</v>
      </c>
      <c r="AR52" s="1" t="s">
        <v>394</v>
      </c>
      <c r="AS52" s="1" t="s">
        <v>377</v>
      </c>
      <c r="AT52" s="1" t="s">
        <v>377</v>
      </c>
      <c r="AU52" s="1" t="s">
        <v>394</v>
      </c>
      <c r="AV52" s="1" t="s">
        <v>377</v>
      </c>
      <c r="AW52" s="1" t="s">
        <v>377</v>
      </c>
      <c r="AX52" s="1" t="s">
        <v>378</v>
      </c>
      <c r="AY52" s="1" t="s">
        <v>394</v>
      </c>
      <c r="AZ52" s="1" t="s">
        <v>394</v>
      </c>
      <c r="BA52" s="1" t="s">
        <v>825</v>
      </c>
      <c r="BB52" s="1" t="s">
        <v>377</v>
      </c>
      <c r="BC52" s="1" t="s">
        <v>825</v>
      </c>
      <c r="BD52" s="1" t="s">
        <v>825</v>
      </c>
      <c r="BE52" s="1" t="s">
        <v>394</v>
      </c>
      <c r="BF52" s="1" t="s">
        <v>394</v>
      </c>
      <c r="BH52" s="1" t="s">
        <v>785</v>
      </c>
      <c r="BI52" s="1" t="s">
        <v>394</v>
      </c>
      <c r="BJ52" s="1" t="s">
        <v>394</v>
      </c>
      <c r="BK52" s="1" t="s">
        <v>394</v>
      </c>
    </row>
    <row r="53" spans="1:63" x14ac:dyDescent="0.25">
      <c r="A53" s="1">
        <v>52</v>
      </c>
      <c r="B53" s="1" t="s">
        <v>122</v>
      </c>
      <c r="C53" s="1" t="s">
        <v>357</v>
      </c>
      <c r="D53" s="1" t="s">
        <v>358</v>
      </c>
      <c r="E53" s="1" t="s">
        <v>8</v>
      </c>
      <c r="F53" s="1" t="s">
        <v>359</v>
      </c>
      <c r="G53" s="1" t="s">
        <v>56</v>
      </c>
      <c r="H53" s="1">
        <v>2016</v>
      </c>
      <c r="I53" s="1" t="s">
        <v>212</v>
      </c>
      <c r="J53" s="1" t="s">
        <v>51</v>
      </c>
      <c r="K53" s="1">
        <v>1841</v>
      </c>
      <c r="L53" s="1" t="s">
        <v>475</v>
      </c>
      <c r="M53" s="1" t="s">
        <v>754</v>
      </c>
      <c r="N53" s="1" t="s">
        <v>466</v>
      </c>
      <c r="O53" s="1" t="s">
        <v>44</v>
      </c>
      <c r="P53" s="1" t="s">
        <v>20</v>
      </c>
      <c r="Q53" s="1" t="s">
        <v>466</v>
      </c>
      <c r="R53" s="1" t="s">
        <v>747</v>
      </c>
      <c r="S53" s="1" t="s">
        <v>21</v>
      </c>
      <c r="T53" s="1" t="s">
        <v>43</v>
      </c>
      <c r="U53" s="1" t="s">
        <v>299</v>
      </c>
      <c r="V53" s="1" t="s">
        <v>44</v>
      </c>
      <c r="W53" s="1" t="s">
        <v>377</v>
      </c>
      <c r="X53" s="1" t="s">
        <v>377</v>
      </c>
      <c r="Y53" s="1" t="s">
        <v>394</v>
      </c>
      <c r="Z53" s="1" t="s">
        <v>394</v>
      </c>
      <c r="AA53" s="1" t="s">
        <v>394</v>
      </c>
      <c r="AB53" s="3" t="s">
        <v>394</v>
      </c>
      <c r="AC53" s="1" t="str">
        <f t="shared" si="0"/>
        <v>No</v>
      </c>
      <c r="AD53" s="1" t="s">
        <v>394</v>
      </c>
      <c r="AE53" s="1" t="s">
        <v>394</v>
      </c>
      <c r="AF53" s="1" t="s">
        <v>394</v>
      </c>
      <c r="AG53" s="1" t="s">
        <v>394</v>
      </c>
      <c r="AH53" s="1" t="s">
        <v>394</v>
      </c>
      <c r="AI53" s="1" t="s">
        <v>394</v>
      </c>
      <c r="AJ53" s="1" t="s">
        <v>394</v>
      </c>
      <c r="AK53" s="1" t="s">
        <v>394</v>
      </c>
      <c r="AL53" s="1" t="s">
        <v>394</v>
      </c>
      <c r="AM53" s="1" t="str">
        <f t="shared" si="1"/>
        <v>OK</v>
      </c>
      <c r="AN53" s="1" t="s">
        <v>383</v>
      </c>
      <c r="AO53" s="1" t="s">
        <v>47</v>
      </c>
      <c r="AP53" s="1" t="s">
        <v>394</v>
      </c>
      <c r="AQ53" s="1" t="s">
        <v>394</v>
      </c>
      <c r="AR53" s="1" t="s">
        <v>394</v>
      </c>
      <c r="AS53" s="1" t="s">
        <v>377</v>
      </c>
      <c r="AT53" s="1" t="s">
        <v>377</v>
      </c>
      <c r="AU53" s="1" t="s">
        <v>377</v>
      </c>
      <c r="AV53" s="1" t="s">
        <v>377</v>
      </c>
      <c r="AW53" s="1" t="s">
        <v>394</v>
      </c>
      <c r="AX53" s="1" t="s">
        <v>377</v>
      </c>
      <c r="AY53" s="1" t="s">
        <v>377</v>
      </c>
      <c r="AZ53" s="1" t="s">
        <v>377</v>
      </c>
      <c r="BA53" s="1" t="s">
        <v>394</v>
      </c>
      <c r="BB53" s="1" t="s">
        <v>377</v>
      </c>
      <c r="BC53" s="1" t="s">
        <v>377</v>
      </c>
      <c r="BD53" s="1" t="s">
        <v>377</v>
      </c>
      <c r="BE53" s="1" t="s">
        <v>377</v>
      </c>
      <c r="BF53" s="1" t="s">
        <v>377</v>
      </c>
      <c r="BH53" s="1" t="s">
        <v>785</v>
      </c>
      <c r="BI53" s="1" t="s">
        <v>394</v>
      </c>
      <c r="BJ53" s="1" t="s">
        <v>394</v>
      </c>
      <c r="BK53" s="1" t="s">
        <v>394</v>
      </c>
    </row>
    <row r="54" spans="1:63" x14ac:dyDescent="0.25">
      <c r="A54" s="1">
        <v>53</v>
      </c>
      <c r="B54" s="1" t="s">
        <v>123</v>
      </c>
      <c r="C54" s="1" t="s">
        <v>361</v>
      </c>
      <c r="D54" s="1" t="s">
        <v>362</v>
      </c>
      <c r="E54" s="1" t="s">
        <v>8</v>
      </c>
      <c r="F54" s="1" t="s">
        <v>360</v>
      </c>
      <c r="G54" s="1" t="s">
        <v>417</v>
      </c>
      <c r="H54" s="1">
        <v>2023</v>
      </c>
      <c r="I54" s="1" t="s">
        <v>34</v>
      </c>
      <c r="J54" s="1" t="s">
        <v>51</v>
      </c>
      <c r="K54" s="1">
        <v>2039</v>
      </c>
      <c r="L54" s="1" t="s">
        <v>475</v>
      </c>
      <c r="M54" s="1" t="s">
        <v>47</v>
      </c>
      <c r="N54" s="1" t="s">
        <v>466</v>
      </c>
      <c r="O54" s="1" t="s">
        <v>44</v>
      </c>
      <c r="P54" s="1" t="s">
        <v>20</v>
      </c>
      <c r="Q54" s="1" t="s">
        <v>466</v>
      </c>
      <c r="R54" s="1" t="s">
        <v>422</v>
      </c>
      <c r="S54" s="1" t="s">
        <v>21</v>
      </c>
      <c r="T54" s="1" t="s">
        <v>43</v>
      </c>
      <c r="U54" s="1" t="s">
        <v>299</v>
      </c>
      <c r="V54" s="1" t="s">
        <v>44</v>
      </c>
      <c r="W54" s="1" t="s">
        <v>394</v>
      </c>
      <c r="X54" s="1" t="s">
        <v>377</v>
      </c>
      <c r="Y54" s="1" t="s">
        <v>394</v>
      </c>
      <c r="Z54" s="1" t="s">
        <v>394</v>
      </c>
      <c r="AA54" s="1" t="s">
        <v>394</v>
      </c>
      <c r="AB54" s="3" t="s">
        <v>394</v>
      </c>
      <c r="AC54" s="1" t="str">
        <f t="shared" si="0"/>
        <v>No</v>
      </c>
      <c r="AD54" s="1" t="s">
        <v>394</v>
      </c>
      <c r="AE54" s="1" t="s">
        <v>394</v>
      </c>
      <c r="AF54" s="1" t="s">
        <v>394</v>
      </c>
      <c r="AG54" s="1" t="s">
        <v>394</v>
      </c>
      <c r="AH54" s="1" t="s">
        <v>394</v>
      </c>
      <c r="AI54" s="1" t="s">
        <v>394</v>
      </c>
      <c r="AJ54" s="1" t="s">
        <v>394</v>
      </c>
      <c r="AK54" s="1" t="s">
        <v>394</v>
      </c>
      <c r="AL54" s="1" t="s">
        <v>394</v>
      </c>
      <c r="AM54" s="1" t="str">
        <f t="shared" si="1"/>
        <v>OK</v>
      </c>
      <c r="AN54" s="1" t="s">
        <v>383</v>
      </c>
      <c r="AO54" s="1" t="s">
        <v>423</v>
      </c>
      <c r="AP54" s="1" t="s">
        <v>377</v>
      </c>
      <c r="AQ54" s="1" t="s">
        <v>377</v>
      </c>
      <c r="AR54" s="1" t="s">
        <v>394</v>
      </c>
      <c r="AS54" s="1" t="s">
        <v>377</v>
      </c>
      <c r="AT54" s="1" t="s">
        <v>377</v>
      </c>
      <c r="AU54" s="1" t="s">
        <v>394</v>
      </c>
      <c r="AV54" s="1" t="s">
        <v>377</v>
      </c>
      <c r="AW54" s="1" t="s">
        <v>377</v>
      </c>
      <c r="AX54" s="1" t="s">
        <v>377</v>
      </c>
      <c r="AY54" s="1" t="s">
        <v>394</v>
      </c>
      <c r="AZ54" s="1" t="s">
        <v>394</v>
      </c>
      <c r="BA54" s="1" t="s">
        <v>825</v>
      </c>
      <c r="BB54" s="1" t="s">
        <v>377</v>
      </c>
      <c r="BC54" s="1" t="s">
        <v>377</v>
      </c>
      <c r="BD54" s="1" t="s">
        <v>377</v>
      </c>
      <c r="BE54" s="1" t="s">
        <v>377</v>
      </c>
      <c r="BF54" s="1" t="s">
        <v>377</v>
      </c>
      <c r="BH54" s="1" t="s">
        <v>785</v>
      </c>
      <c r="BI54" s="1" t="s">
        <v>394</v>
      </c>
      <c r="BJ54" s="1" t="s">
        <v>394</v>
      </c>
      <c r="BK54" s="1" t="s">
        <v>394</v>
      </c>
    </row>
    <row r="55" spans="1:63" x14ac:dyDescent="0.25">
      <c r="A55" s="1">
        <v>54</v>
      </c>
      <c r="B55" s="1" t="s">
        <v>40</v>
      </c>
      <c r="C55" s="1" t="s">
        <v>72</v>
      </c>
      <c r="D55" s="1" t="s">
        <v>44</v>
      </c>
      <c r="E55" s="1" t="s">
        <v>8</v>
      </c>
      <c r="F55" s="1" t="s">
        <v>73</v>
      </c>
      <c r="G55" s="1" t="s">
        <v>71</v>
      </c>
      <c r="H55" s="1">
        <v>2015</v>
      </c>
      <c r="I55" s="1" t="s">
        <v>26</v>
      </c>
      <c r="J55" s="1" t="s">
        <v>51</v>
      </c>
      <c r="K55" s="1">
        <v>14846</v>
      </c>
      <c r="L55" s="1" t="s">
        <v>477</v>
      </c>
      <c r="M55" s="1" t="s">
        <v>364</v>
      </c>
      <c r="N55" s="1" t="s">
        <v>46</v>
      </c>
      <c r="O55" s="1" t="s">
        <v>44</v>
      </c>
      <c r="P55" s="1" t="s">
        <v>230</v>
      </c>
      <c r="Q55" s="1" t="s">
        <v>22</v>
      </c>
      <c r="R55" s="1" t="s">
        <v>47</v>
      </c>
      <c r="S55" s="1" t="s">
        <v>21</v>
      </c>
      <c r="T55" s="1" t="s">
        <v>43</v>
      </c>
      <c r="U55" s="1" t="s">
        <v>363</v>
      </c>
      <c r="V55" s="1" t="s">
        <v>74</v>
      </c>
      <c r="W55" s="1" t="s">
        <v>394</v>
      </c>
      <c r="X55" s="1" t="s">
        <v>377</v>
      </c>
      <c r="Y55" s="1" t="s">
        <v>394</v>
      </c>
      <c r="Z55" s="1" t="s">
        <v>394</v>
      </c>
      <c r="AA55" s="1" t="s">
        <v>394</v>
      </c>
      <c r="AB55" s="3" t="s">
        <v>394</v>
      </c>
      <c r="AC55" s="1" t="str">
        <f t="shared" si="0"/>
        <v>No</v>
      </c>
      <c r="AD55" s="1" t="s">
        <v>394</v>
      </c>
      <c r="AE55" s="1" t="s">
        <v>394</v>
      </c>
      <c r="AF55" s="1" t="s">
        <v>394</v>
      </c>
      <c r="AG55" s="1" t="s">
        <v>394</v>
      </c>
      <c r="AH55" s="1" t="s">
        <v>394</v>
      </c>
      <c r="AI55" s="1" t="s">
        <v>377</v>
      </c>
      <c r="AJ55" s="1" t="s">
        <v>394</v>
      </c>
      <c r="AK55" s="1" t="s">
        <v>377</v>
      </c>
      <c r="AL55" s="1" t="s">
        <v>394</v>
      </c>
      <c r="AM55" s="1" t="str">
        <f t="shared" si="1"/>
        <v>OK</v>
      </c>
      <c r="AN55" s="1" t="s">
        <v>383</v>
      </c>
      <c r="AO55" s="1" t="s">
        <v>47</v>
      </c>
      <c r="AP55" s="1" t="s">
        <v>394</v>
      </c>
      <c r="AQ55" s="1" t="s">
        <v>377</v>
      </c>
      <c r="AR55" s="1" t="s">
        <v>394</v>
      </c>
      <c r="AS55" s="1" t="s">
        <v>377</v>
      </c>
      <c r="AT55" s="1" t="s">
        <v>377</v>
      </c>
      <c r="AU55" s="1" t="s">
        <v>377</v>
      </c>
      <c r="AV55" s="1" t="s">
        <v>377</v>
      </c>
      <c r="AW55" s="1" t="s">
        <v>377</v>
      </c>
      <c r="AX55" s="1" t="s">
        <v>378</v>
      </c>
      <c r="AY55" s="1" t="s">
        <v>394</v>
      </c>
      <c r="AZ55" s="1" t="s">
        <v>394</v>
      </c>
      <c r="BA55" s="1" t="s">
        <v>394</v>
      </c>
      <c r="BB55" s="1" t="s">
        <v>377</v>
      </c>
      <c r="BC55" s="1" t="s">
        <v>377</v>
      </c>
      <c r="BD55" s="1" t="s">
        <v>377</v>
      </c>
      <c r="BE55" s="1" t="s">
        <v>377</v>
      </c>
      <c r="BF55" s="1" t="s">
        <v>377</v>
      </c>
      <c r="BH55" s="1" t="s">
        <v>785</v>
      </c>
      <c r="BI55" s="1" t="s">
        <v>394</v>
      </c>
      <c r="BJ55" s="1" t="s">
        <v>394</v>
      </c>
      <c r="BK55" s="1" t="s">
        <v>377</v>
      </c>
    </row>
    <row r="56" spans="1:63" x14ac:dyDescent="0.25">
      <c r="A56" s="1">
        <v>55</v>
      </c>
      <c r="B56" s="1" t="s">
        <v>124</v>
      </c>
      <c r="C56" s="1" t="s">
        <v>366</v>
      </c>
      <c r="D56" s="1" t="s">
        <v>44</v>
      </c>
      <c r="E56" s="1" t="s">
        <v>8</v>
      </c>
      <c r="F56" s="1" t="s">
        <v>365</v>
      </c>
      <c r="G56" s="1" t="s">
        <v>327</v>
      </c>
      <c r="H56" s="1">
        <v>2014</v>
      </c>
      <c r="I56" s="1" t="s">
        <v>34</v>
      </c>
      <c r="J56" s="1" t="s">
        <v>51</v>
      </c>
      <c r="K56" s="1">
        <v>20556</v>
      </c>
      <c r="L56" s="1" t="s">
        <v>475</v>
      </c>
      <c r="M56" s="1" t="s">
        <v>425</v>
      </c>
      <c r="N56" s="1" t="s">
        <v>466</v>
      </c>
      <c r="O56" s="1" t="s">
        <v>44</v>
      </c>
      <c r="P56" s="1" t="s">
        <v>20</v>
      </c>
      <c r="Q56" s="1" t="s">
        <v>466</v>
      </c>
      <c r="R56" s="1" t="s">
        <v>424</v>
      </c>
      <c r="S56" s="1" t="s">
        <v>21</v>
      </c>
      <c r="T56" s="1" t="s">
        <v>43</v>
      </c>
      <c r="U56" s="1" t="s">
        <v>464</v>
      </c>
      <c r="V56" s="1" t="s">
        <v>44</v>
      </c>
      <c r="W56" s="1" t="s">
        <v>394</v>
      </c>
      <c r="X56" s="1" t="s">
        <v>377</v>
      </c>
      <c r="Y56" s="1" t="s">
        <v>394</v>
      </c>
      <c r="Z56" s="1" t="s">
        <v>394</v>
      </c>
      <c r="AA56" s="1" t="s">
        <v>394</v>
      </c>
      <c r="AB56" s="3" t="s">
        <v>394</v>
      </c>
      <c r="AC56" s="1" t="str">
        <f t="shared" si="0"/>
        <v>No</v>
      </c>
      <c r="AD56" s="1" t="s">
        <v>394</v>
      </c>
      <c r="AE56" s="1" t="s">
        <v>394</v>
      </c>
      <c r="AF56" s="1" t="s">
        <v>394</v>
      </c>
      <c r="AG56" s="1" t="s">
        <v>394</v>
      </c>
      <c r="AH56" s="1" t="s">
        <v>394</v>
      </c>
      <c r="AI56" s="1" t="s">
        <v>394</v>
      </c>
      <c r="AJ56" s="1" t="s">
        <v>394</v>
      </c>
      <c r="AK56" s="1" t="s">
        <v>394</v>
      </c>
      <c r="AL56" s="1" t="s">
        <v>394</v>
      </c>
      <c r="AM56" s="1" t="str">
        <f t="shared" si="1"/>
        <v>OK</v>
      </c>
      <c r="AN56" s="1" t="s">
        <v>383</v>
      </c>
      <c r="AO56" s="1" t="s">
        <v>387</v>
      </c>
      <c r="AP56" s="1" t="s">
        <v>377</v>
      </c>
      <c r="AQ56" s="1" t="s">
        <v>394</v>
      </c>
      <c r="AR56" s="1" t="s">
        <v>394</v>
      </c>
      <c r="AS56" s="1" t="s">
        <v>377</v>
      </c>
      <c r="AT56" s="1" t="s">
        <v>377</v>
      </c>
      <c r="AU56" s="1" t="s">
        <v>377</v>
      </c>
      <c r="AV56" s="1" t="s">
        <v>377</v>
      </c>
      <c r="AW56" s="1" t="s">
        <v>377</v>
      </c>
      <c r="AX56" s="1" t="s">
        <v>378</v>
      </c>
      <c r="AY56" s="1" t="s">
        <v>394</v>
      </c>
      <c r="AZ56" s="1" t="s">
        <v>394</v>
      </c>
      <c r="BA56" s="1" t="s">
        <v>825</v>
      </c>
      <c r="BB56" s="1" t="s">
        <v>377</v>
      </c>
      <c r="BC56" s="1" t="s">
        <v>377</v>
      </c>
      <c r="BD56" s="1" t="s">
        <v>377</v>
      </c>
      <c r="BE56" s="1" t="s">
        <v>377</v>
      </c>
      <c r="BF56" s="1" t="s">
        <v>377</v>
      </c>
      <c r="BH56" s="1" t="s">
        <v>785</v>
      </c>
      <c r="BI56" s="1" t="s">
        <v>394</v>
      </c>
      <c r="BJ56" s="1" t="s">
        <v>377</v>
      </c>
      <c r="BK56" s="1" t="s">
        <v>377</v>
      </c>
    </row>
    <row r="57" spans="1:63" x14ac:dyDescent="0.25">
      <c r="A57" s="1">
        <v>56</v>
      </c>
      <c r="B57" s="1" t="s">
        <v>125</v>
      </c>
      <c r="C57" s="1" t="s">
        <v>427</v>
      </c>
      <c r="D57" s="1" t="s">
        <v>44</v>
      </c>
      <c r="E57" s="1" t="s">
        <v>8</v>
      </c>
      <c r="F57" s="1" t="s">
        <v>426</v>
      </c>
      <c r="G57" s="1" t="s">
        <v>767</v>
      </c>
      <c r="H57" s="1">
        <v>2020</v>
      </c>
      <c r="I57" s="1" t="s">
        <v>212</v>
      </c>
      <c r="J57" s="1" t="s">
        <v>51</v>
      </c>
      <c r="K57" s="1">
        <v>190</v>
      </c>
      <c r="L57" s="1" t="s">
        <v>475</v>
      </c>
      <c r="M57" s="1" t="s">
        <v>47</v>
      </c>
      <c r="N57" s="1" t="s">
        <v>466</v>
      </c>
      <c r="O57" s="1" t="s">
        <v>44</v>
      </c>
      <c r="P57" s="1" t="s">
        <v>20</v>
      </c>
      <c r="Q57" s="1" t="s">
        <v>466</v>
      </c>
      <c r="R57" s="1" t="s">
        <v>47</v>
      </c>
      <c r="S57" s="1" t="s">
        <v>21</v>
      </c>
      <c r="T57" s="1" t="s">
        <v>43</v>
      </c>
      <c r="U57" s="1" t="s">
        <v>209</v>
      </c>
      <c r="V57" s="1" t="s">
        <v>435</v>
      </c>
      <c r="W57" s="1" t="s">
        <v>377</v>
      </c>
      <c r="X57" s="1" t="s">
        <v>377</v>
      </c>
      <c r="Y57" s="1" t="s">
        <v>394</v>
      </c>
      <c r="Z57" s="1" t="s">
        <v>377</v>
      </c>
      <c r="AA57" s="1" t="s">
        <v>394</v>
      </c>
      <c r="AB57" s="3" t="s">
        <v>394</v>
      </c>
      <c r="AC57" s="1" t="str">
        <f t="shared" si="0"/>
        <v>Yes</v>
      </c>
      <c r="AD57" s="1" t="s">
        <v>394</v>
      </c>
      <c r="AE57" s="1" t="s">
        <v>394</v>
      </c>
      <c r="AF57" s="1" t="s">
        <v>394</v>
      </c>
      <c r="AG57" s="1" t="s">
        <v>394</v>
      </c>
      <c r="AH57" s="1" t="s">
        <v>394</v>
      </c>
      <c r="AI57" s="1" t="s">
        <v>394</v>
      </c>
      <c r="AJ57" s="1" t="s">
        <v>394</v>
      </c>
      <c r="AK57" s="1" t="s">
        <v>394</v>
      </c>
      <c r="AL57" s="1" t="s">
        <v>394</v>
      </c>
      <c r="AM57" s="1" t="str">
        <f t="shared" si="1"/>
        <v>OK</v>
      </c>
      <c r="AN57" s="1" t="s">
        <v>383</v>
      </c>
      <c r="AO57" s="1" t="s">
        <v>384</v>
      </c>
      <c r="AP57" s="1" t="s">
        <v>394</v>
      </c>
      <c r="AQ57" s="1" t="s">
        <v>394</v>
      </c>
      <c r="AR57" s="1" t="s">
        <v>394</v>
      </c>
      <c r="AS57" s="1" t="s">
        <v>377</v>
      </c>
      <c r="AT57" s="1" t="s">
        <v>377</v>
      </c>
      <c r="AU57" s="1" t="s">
        <v>377</v>
      </c>
      <c r="AV57" s="1" t="s">
        <v>377</v>
      </c>
      <c r="AW57" s="1" t="s">
        <v>394</v>
      </c>
      <c r="AX57" s="1" t="s">
        <v>377</v>
      </c>
      <c r="AY57" s="1" t="s">
        <v>394</v>
      </c>
      <c r="AZ57" s="1" t="s">
        <v>394</v>
      </c>
      <c r="BA57" s="1" t="s">
        <v>394</v>
      </c>
      <c r="BB57" s="1" t="s">
        <v>377</v>
      </c>
      <c r="BC57" s="1" t="s">
        <v>377</v>
      </c>
      <c r="BD57" s="1" t="s">
        <v>377</v>
      </c>
      <c r="BE57" s="1" t="s">
        <v>377</v>
      </c>
      <c r="BF57" s="1" t="s">
        <v>377</v>
      </c>
      <c r="BH57" s="1" t="s">
        <v>785</v>
      </c>
      <c r="BI57" s="1" t="s">
        <v>394</v>
      </c>
      <c r="BJ57" s="1" t="s">
        <v>394</v>
      </c>
      <c r="BK57" s="1" t="s">
        <v>394</v>
      </c>
    </row>
    <row r="58" spans="1:63" x14ac:dyDescent="0.25">
      <c r="A58" s="1">
        <v>57</v>
      </c>
      <c r="B58" s="1" t="s">
        <v>126</v>
      </c>
      <c r="C58" s="1" t="s">
        <v>428</v>
      </c>
      <c r="D58" s="1" t="s">
        <v>429</v>
      </c>
      <c r="E58" s="1" t="s">
        <v>8</v>
      </c>
      <c r="F58" s="1" t="s">
        <v>430</v>
      </c>
      <c r="G58" s="1" t="s">
        <v>207</v>
      </c>
      <c r="H58" s="1">
        <v>2020</v>
      </c>
      <c r="I58" s="1" t="s">
        <v>30</v>
      </c>
      <c r="J58" s="1" t="s">
        <v>51</v>
      </c>
      <c r="K58" s="1">
        <v>107</v>
      </c>
      <c r="L58" s="1" t="s">
        <v>431</v>
      </c>
      <c r="M58" s="1" t="s">
        <v>432</v>
      </c>
      <c r="N58" s="1" t="s">
        <v>817</v>
      </c>
      <c r="O58" s="1" t="s">
        <v>433</v>
      </c>
      <c r="P58" s="1" t="s">
        <v>20</v>
      </c>
      <c r="Q58" s="1" t="s">
        <v>518</v>
      </c>
      <c r="R58" s="1" t="s">
        <v>47</v>
      </c>
      <c r="S58" s="1" t="s">
        <v>57</v>
      </c>
      <c r="T58" s="1" t="s">
        <v>43</v>
      </c>
      <c r="U58" s="1" t="s">
        <v>209</v>
      </c>
      <c r="V58" s="1" t="s">
        <v>435</v>
      </c>
      <c r="W58" s="1" t="s">
        <v>377</v>
      </c>
      <c r="X58" s="1" t="s">
        <v>377</v>
      </c>
      <c r="Y58" s="1" t="s">
        <v>394</v>
      </c>
      <c r="Z58" s="1" t="s">
        <v>377</v>
      </c>
      <c r="AA58" s="1" t="s">
        <v>394</v>
      </c>
      <c r="AB58" s="3" t="s">
        <v>394</v>
      </c>
      <c r="AC58" s="1" t="str">
        <f t="shared" si="0"/>
        <v>Yes</v>
      </c>
      <c r="AD58" s="1" t="s">
        <v>394</v>
      </c>
      <c r="AE58" s="1" t="s">
        <v>394</v>
      </c>
      <c r="AF58" s="1" t="s">
        <v>394</v>
      </c>
      <c r="AG58" s="1" t="s">
        <v>394</v>
      </c>
      <c r="AH58" s="1" t="s">
        <v>394</v>
      </c>
      <c r="AI58" s="1" t="s">
        <v>394</v>
      </c>
      <c r="AJ58" s="1" t="s">
        <v>394</v>
      </c>
      <c r="AK58" s="1" t="s">
        <v>394</v>
      </c>
      <c r="AL58" s="1" t="s">
        <v>394</v>
      </c>
      <c r="AM58" s="1" t="str">
        <f t="shared" si="1"/>
        <v>OK</v>
      </c>
      <c r="AN58" s="1" t="s">
        <v>383</v>
      </c>
      <c r="AO58" s="1" t="s">
        <v>384</v>
      </c>
      <c r="AP58" s="1" t="s">
        <v>394</v>
      </c>
      <c r="AQ58" s="1" t="s">
        <v>394</v>
      </c>
      <c r="AR58" s="1" t="s">
        <v>394</v>
      </c>
      <c r="AS58" s="1" t="s">
        <v>377</v>
      </c>
      <c r="AT58" s="1" t="s">
        <v>377</v>
      </c>
      <c r="AU58" s="1" t="s">
        <v>377</v>
      </c>
      <c r="AV58" s="1" t="s">
        <v>377</v>
      </c>
      <c r="AW58" s="1" t="s">
        <v>394</v>
      </c>
      <c r="AX58" s="1" t="s">
        <v>377</v>
      </c>
      <c r="AY58" s="1" t="s">
        <v>394</v>
      </c>
      <c r="AZ58" s="1" t="s">
        <v>394</v>
      </c>
      <c r="BA58" s="1" t="s">
        <v>377</v>
      </c>
      <c r="BB58" s="1" t="s">
        <v>377</v>
      </c>
      <c r="BC58" s="1" t="s">
        <v>377</v>
      </c>
      <c r="BD58" s="1" t="s">
        <v>377</v>
      </c>
      <c r="BE58" s="1" t="s">
        <v>377</v>
      </c>
      <c r="BF58" s="1" t="s">
        <v>377</v>
      </c>
      <c r="BH58" s="1" t="s">
        <v>785</v>
      </c>
      <c r="BI58" s="1" t="s">
        <v>394</v>
      </c>
      <c r="BJ58" s="1" t="s">
        <v>394</v>
      </c>
      <c r="BK58" s="1" t="s">
        <v>394</v>
      </c>
    </row>
    <row r="59" spans="1:63" x14ac:dyDescent="0.25">
      <c r="A59" s="1">
        <v>58</v>
      </c>
      <c r="B59" s="1" t="s">
        <v>127</v>
      </c>
      <c r="C59" s="1" t="s">
        <v>437</v>
      </c>
      <c r="D59" s="1" t="s">
        <v>44</v>
      </c>
      <c r="E59" s="1" t="s">
        <v>8</v>
      </c>
      <c r="F59" s="1" t="s">
        <v>438</v>
      </c>
      <c r="G59" s="1" t="s">
        <v>420</v>
      </c>
      <c r="H59" s="1">
        <v>2022</v>
      </c>
      <c r="I59" s="1" t="s">
        <v>212</v>
      </c>
      <c r="J59" s="1" t="s">
        <v>51</v>
      </c>
      <c r="K59" s="1">
        <v>92</v>
      </c>
      <c r="L59" s="1" t="s">
        <v>475</v>
      </c>
      <c r="M59" s="1" t="s">
        <v>436</v>
      </c>
      <c r="N59" s="1" t="s">
        <v>466</v>
      </c>
      <c r="O59" s="1" t="s">
        <v>44</v>
      </c>
      <c r="P59" s="1" t="s">
        <v>20</v>
      </c>
      <c r="Q59" s="1" t="s">
        <v>466</v>
      </c>
      <c r="R59" s="1" t="s">
        <v>47</v>
      </c>
      <c r="S59" s="1" t="s">
        <v>21</v>
      </c>
      <c r="T59" s="1" t="s">
        <v>43</v>
      </c>
      <c r="U59" s="1" t="s">
        <v>209</v>
      </c>
      <c r="V59" s="1" t="s">
        <v>44</v>
      </c>
      <c r="W59" s="1" t="s">
        <v>377</v>
      </c>
      <c r="X59" s="1" t="s">
        <v>394</v>
      </c>
      <c r="Y59" s="1" t="s">
        <v>394</v>
      </c>
      <c r="Z59" s="1" t="s">
        <v>394</v>
      </c>
      <c r="AA59" s="1" t="s">
        <v>394</v>
      </c>
      <c r="AB59" s="3" t="s">
        <v>394</v>
      </c>
      <c r="AC59" s="1" t="str">
        <f t="shared" si="0"/>
        <v>No</v>
      </c>
      <c r="AD59" s="1" t="s">
        <v>394</v>
      </c>
      <c r="AE59" s="1" t="s">
        <v>394</v>
      </c>
      <c r="AF59" s="1" t="s">
        <v>394</v>
      </c>
      <c r="AG59" s="1" t="s">
        <v>394</v>
      </c>
      <c r="AH59" s="1" t="s">
        <v>394</v>
      </c>
      <c r="AI59" s="1" t="s">
        <v>394</v>
      </c>
      <c r="AJ59" s="1" t="s">
        <v>394</v>
      </c>
      <c r="AK59" s="1" t="s">
        <v>394</v>
      </c>
      <c r="AL59" s="1" t="s">
        <v>394</v>
      </c>
      <c r="AM59" s="1" t="str">
        <f t="shared" si="1"/>
        <v>OK</v>
      </c>
      <c r="AN59" s="1" t="s">
        <v>383</v>
      </c>
      <c r="AO59" s="1" t="s">
        <v>405</v>
      </c>
      <c r="AP59" s="1" t="s">
        <v>394</v>
      </c>
      <c r="AQ59" s="1" t="s">
        <v>394</v>
      </c>
      <c r="AR59" s="1" t="s">
        <v>394</v>
      </c>
      <c r="AS59" s="1" t="s">
        <v>377</v>
      </c>
      <c r="AT59" s="1" t="s">
        <v>377</v>
      </c>
      <c r="AU59" s="1" t="s">
        <v>394</v>
      </c>
      <c r="AV59" s="1" t="s">
        <v>377</v>
      </c>
      <c r="AW59" s="1" t="s">
        <v>394</v>
      </c>
      <c r="AX59" s="1" t="s">
        <v>378</v>
      </c>
      <c r="AY59" s="1" t="s">
        <v>394</v>
      </c>
      <c r="AZ59" s="1" t="s">
        <v>394</v>
      </c>
      <c r="BA59" s="1" t="s">
        <v>825</v>
      </c>
      <c r="BB59" s="1" t="s">
        <v>377</v>
      </c>
      <c r="BC59" s="1" t="s">
        <v>825</v>
      </c>
      <c r="BD59" s="1" t="s">
        <v>825</v>
      </c>
      <c r="BE59" s="1" t="s">
        <v>377</v>
      </c>
      <c r="BF59" s="1" t="s">
        <v>377</v>
      </c>
      <c r="BH59" s="1" t="s">
        <v>785</v>
      </c>
      <c r="BI59" s="1" t="s">
        <v>394</v>
      </c>
      <c r="BJ59" s="1" t="s">
        <v>394</v>
      </c>
      <c r="BK59" s="1" t="s">
        <v>394</v>
      </c>
    </row>
    <row r="60" spans="1:63" x14ac:dyDescent="0.25">
      <c r="A60" s="1">
        <v>59</v>
      </c>
      <c r="B60" s="1" t="s">
        <v>128</v>
      </c>
      <c r="C60" s="1" t="s">
        <v>440</v>
      </c>
      <c r="D60" s="1" t="s">
        <v>441</v>
      </c>
      <c r="E60" s="1" t="s">
        <v>8</v>
      </c>
      <c r="F60" s="1" t="s">
        <v>439</v>
      </c>
      <c r="G60" s="1" t="s">
        <v>327</v>
      </c>
      <c r="H60" s="1">
        <v>2017</v>
      </c>
      <c r="I60" s="1" t="s">
        <v>34</v>
      </c>
      <c r="J60" s="1" t="s">
        <v>51</v>
      </c>
      <c r="K60" s="1">
        <v>1001</v>
      </c>
      <c r="L60" s="1" t="s">
        <v>475</v>
      </c>
      <c r="M60" s="1" t="s">
        <v>47</v>
      </c>
      <c r="N60" s="1" t="s">
        <v>466</v>
      </c>
      <c r="O60" s="1" t="s">
        <v>44</v>
      </c>
      <c r="P60" s="1" t="s">
        <v>20</v>
      </c>
      <c r="Q60" s="1" t="s">
        <v>466</v>
      </c>
      <c r="R60" s="1" t="s">
        <v>47</v>
      </c>
      <c r="S60" s="1" t="s">
        <v>21</v>
      </c>
      <c r="T60" s="1" t="s">
        <v>43</v>
      </c>
      <c r="U60" s="1" t="s">
        <v>465</v>
      </c>
      <c r="V60" s="1" t="s">
        <v>44</v>
      </c>
      <c r="W60" s="1" t="s">
        <v>394</v>
      </c>
      <c r="X60" s="1" t="s">
        <v>377</v>
      </c>
      <c r="Y60" s="1" t="s">
        <v>394</v>
      </c>
      <c r="Z60" s="1" t="s">
        <v>394</v>
      </c>
      <c r="AA60" s="1" t="s">
        <v>394</v>
      </c>
      <c r="AB60" s="3" t="s">
        <v>394</v>
      </c>
      <c r="AC60" s="1" t="str">
        <f t="shared" si="0"/>
        <v>No</v>
      </c>
      <c r="AD60" s="1" t="s">
        <v>394</v>
      </c>
      <c r="AE60" s="1" t="s">
        <v>394</v>
      </c>
      <c r="AF60" s="1" t="s">
        <v>394</v>
      </c>
      <c r="AG60" s="1" t="s">
        <v>394</v>
      </c>
      <c r="AH60" s="1" t="s">
        <v>394</v>
      </c>
      <c r="AI60" s="1" t="s">
        <v>394</v>
      </c>
      <c r="AJ60" s="1" t="s">
        <v>394</v>
      </c>
      <c r="AK60" s="1" t="s">
        <v>394</v>
      </c>
      <c r="AL60" s="1" t="s">
        <v>394</v>
      </c>
      <c r="AM60" s="1" t="str">
        <f t="shared" si="1"/>
        <v>OK</v>
      </c>
      <c r="AN60" s="1" t="s">
        <v>383</v>
      </c>
      <c r="AO60" s="1" t="s">
        <v>47</v>
      </c>
      <c r="AP60" s="1" t="s">
        <v>394</v>
      </c>
      <c r="AQ60" s="1" t="s">
        <v>394</v>
      </c>
      <c r="AR60" s="1" t="s">
        <v>394</v>
      </c>
      <c r="AS60" s="1" t="s">
        <v>377</v>
      </c>
      <c r="AT60" s="1" t="s">
        <v>377</v>
      </c>
      <c r="AU60" s="1" t="s">
        <v>394</v>
      </c>
      <c r="AV60" s="1" t="s">
        <v>377</v>
      </c>
      <c r="AW60" s="1" t="s">
        <v>394</v>
      </c>
      <c r="AX60" s="1" t="s">
        <v>394</v>
      </c>
      <c r="AY60" s="1" t="s">
        <v>394</v>
      </c>
      <c r="AZ60" s="1" t="s">
        <v>394</v>
      </c>
      <c r="BA60" s="1" t="s">
        <v>394</v>
      </c>
      <c r="BB60" s="1" t="s">
        <v>394</v>
      </c>
      <c r="BC60" s="1" t="s">
        <v>394</v>
      </c>
      <c r="BD60" s="1" t="s">
        <v>394</v>
      </c>
      <c r="BE60" s="1" t="s">
        <v>377</v>
      </c>
      <c r="BF60" s="1" t="s">
        <v>394</v>
      </c>
      <c r="BH60" s="1" t="s">
        <v>785</v>
      </c>
      <c r="BI60" s="1" t="s">
        <v>394</v>
      </c>
      <c r="BJ60" s="1" t="s">
        <v>394</v>
      </c>
      <c r="BK60" s="1" t="s">
        <v>394</v>
      </c>
    </row>
    <row r="61" spans="1:63" x14ac:dyDescent="0.25">
      <c r="A61" s="1">
        <v>60</v>
      </c>
      <c r="B61" s="1" t="s">
        <v>129</v>
      </c>
      <c r="C61" s="1" t="s">
        <v>445</v>
      </c>
      <c r="E61" s="1" t="s">
        <v>8</v>
      </c>
      <c r="F61" s="1" t="s">
        <v>444</v>
      </c>
      <c r="G61" s="1" t="s">
        <v>443</v>
      </c>
      <c r="H61" s="1">
        <v>2023</v>
      </c>
      <c r="I61" s="1" t="s">
        <v>34</v>
      </c>
      <c r="J61" s="1" t="s">
        <v>51</v>
      </c>
      <c r="K61" s="1">
        <v>183</v>
      </c>
      <c r="L61" s="1" t="s">
        <v>475</v>
      </c>
      <c r="M61" s="1" t="s">
        <v>442</v>
      </c>
      <c r="N61" s="1" t="s">
        <v>466</v>
      </c>
      <c r="O61" s="1" t="s">
        <v>44</v>
      </c>
      <c r="P61" s="1" t="s">
        <v>20</v>
      </c>
      <c r="Q61" s="1" t="s">
        <v>466</v>
      </c>
      <c r="R61" s="1" t="s">
        <v>47</v>
      </c>
      <c r="S61" s="1" t="s">
        <v>21</v>
      </c>
      <c r="T61" s="1" t="s">
        <v>43</v>
      </c>
      <c r="U61" s="1" t="s">
        <v>209</v>
      </c>
      <c r="V61" s="1" t="s">
        <v>44</v>
      </c>
      <c r="W61" s="1" t="s">
        <v>377</v>
      </c>
      <c r="X61" s="1" t="s">
        <v>394</v>
      </c>
      <c r="Y61" s="1" t="s">
        <v>394</v>
      </c>
      <c r="Z61" s="1" t="s">
        <v>377</v>
      </c>
      <c r="AA61" s="1" t="s">
        <v>394</v>
      </c>
      <c r="AB61" s="3" t="s">
        <v>394</v>
      </c>
      <c r="AC61" s="1" t="str">
        <f t="shared" si="0"/>
        <v>Yes</v>
      </c>
      <c r="AD61" s="1" t="s">
        <v>394</v>
      </c>
      <c r="AE61" s="1" t="s">
        <v>394</v>
      </c>
      <c r="AF61" s="1" t="s">
        <v>394</v>
      </c>
      <c r="AG61" s="1" t="s">
        <v>394</v>
      </c>
      <c r="AH61" s="1" t="s">
        <v>394</v>
      </c>
      <c r="AI61" s="1" t="s">
        <v>394</v>
      </c>
      <c r="AJ61" s="1" t="s">
        <v>394</v>
      </c>
      <c r="AK61" s="1" t="s">
        <v>394</v>
      </c>
      <c r="AL61" s="1" t="s">
        <v>394</v>
      </c>
      <c r="AM61" s="1" t="str">
        <f t="shared" si="1"/>
        <v>OK</v>
      </c>
      <c r="AN61" s="1" t="s">
        <v>383</v>
      </c>
      <c r="AO61" s="1" t="s">
        <v>446</v>
      </c>
      <c r="AP61" s="1" t="s">
        <v>394</v>
      </c>
      <c r="AQ61" s="1" t="s">
        <v>394</v>
      </c>
      <c r="AR61" s="1" t="s">
        <v>394</v>
      </c>
      <c r="AS61" s="1" t="s">
        <v>377</v>
      </c>
      <c r="AT61" s="1" t="s">
        <v>377</v>
      </c>
      <c r="AU61" s="1" t="s">
        <v>394</v>
      </c>
      <c r="AV61" s="1" t="s">
        <v>378</v>
      </c>
      <c r="AW61" s="1" t="s">
        <v>394</v>
      </c>
      <c r="AX61" s="1" t="s">
        <v>377</v>
      </c>
      <c r="AY61" s="1" t="s">
        <v>394</v>
      </c>
      <c r="AZ61" s="1" t="s">
        <v>394</v>
      </c>
      <c r="BA61" s="1" t="s">
        <v>394</v>
      </c>
      <c r="BB61" s="1" t="s">
        <v>377</v>
      </c>
      <c r="BC61" s="1" t="s">
        <v>377</v>
      </c>
      <c r="BD61" s="1" t="s">
        <v>377</v>
      </c>
      <c r="BE61" s="1" t="s">
        <v>394</v>
      </c>
      <c r="BF61" s="1" t="s">
        <v>377</v>
      </c>
      <c r="BH61" s="1" t="s">
        <v>785</v>
      </c>
      <c r="BI61" s="1" t="s">
        <v>394</v>
      </c>
      <c r="BJ61" s="1" t="s">
        <v>394</v>
      </c>
      <c r="BK61" s="1" t="s">
        <v>394</v>
      </c>
    </row>
    <row r="62" spans="1:63" x14ac:dyDescent="0.25">
      <c r="A62" s="1">
        <v>61</v>
      </c>
      <c r="B62" s="1" t="s">
        <v>130</v>
      </c>
      <c r="C62" s="1" t="s">
        <v>449</v>
      </c>
      <c r="D62" s="1" t="s">
        <v>44</v>
      </c>
      <c r="E62" s="1" t="s">
        <v>8</v>
      </c>
      <c r="F62" s="1" t="s">
        <v>448</v>
      </c>
      <c r="G62" s="1" t="s">
        <v>420</v>
      </c>
      <c r="H62" s="1">
        <v>2020</v>
      </c>
      <c r="I62" s="1" t="s">
        <v>212</v>
      </c>
      <c r="J62" s="1" t="s">
        <v>51</v>
      </c>
      <c r="K62" s="1">
        <v>46</v>
      </c>
      <c r="L62" s="1" t="s">
        <v>475</v>
      </c>
      <c r="M62" s="1" t="s">
        <v>447</v>
      </c>
      <c r="N62" s="1" t="s">
        <v>466</v>
      </c>
      <c r="O62" s="1" t="s">
        <v>44</v>
      </c>
      <c r="P62" s="1" t="s">
        <v>20</v>
      </c>
      <c r="Q62" s="1" t="s">
        <v>466</v>
      </c>
      <c r="R62" s="1" t="s">
        <v>47</v>
      </c>
      <c r="S62" s="1" t="s">
        <v>21</v>
      </c>
      <c r="T62" s="1" t="s">
        <v>43</v>
      </c>
      <c r="U62" s="1" t="s">
        <v>209</v>
      </c>
      <c r="V62" s="1" t="s">
        <v>44</v>
      </c>
      <c r="W62" s="1" t="s">
        <v>377</v>
      </c>
      <c r="X62" s="1" t="s">
        <v>394</v>
      </c>
      <c r="Y62" s="1" t="s">
        <v>394</v>
      </c>
      <c r="Z62" s="1" t="s">
        <v>377</v>
      </c>
      <c r="AA62" s="1" t="s">
        <v>394</v>
      </c>
      <c r="AB62" s="3" t="s">
        <v>394</v>
      </c>
      <c r="AC62" s="1" t="str">
        <f t="shared" si="0"/>
        <v>Yes</v>
      </c>
      <c r="AD62" s="1" t="s">
        <v>394</v>
      </c>
      <c r="AE62" s="1" t="s">
        <v>394</v>
      </c>
      <c r="AF62" s="1" t="s">
        <v>394</v>
      </c>
      <c r="AG62" s="1" t="s">
        <v>394</v>
      </c>
      <c r="AH62" s="1" t="s">
        <v>394</v>
      </c>
      <c r="AI62" s="1" t="s">
        <v>394</v>
      </c>
      <c r="AJ62" s="1" t="s">
        <v>394</v>
      </c>
      <c r="AK62" s="1" t="s">
        <v>394</v>
      </c>
      <c r="AL62" s="1" t="s">
        <v>394</v>
      </c>
      <c r="AM62" s="1" t="str">
        <f t="shared" si="1"/>
        <v>OK</v>
      </c>
      <c r="AN62" s="1" t="s">
        <v>383</v>
      </c>
      <c r="AO62" s="1" t="s">
        <v>405</v>
      </c>
      <c r="AP62" s="1" t="s">
        <v>394</v>
      </c>
      <c r="AQ62" s="1" t="s">
        <v>394</v>
      </c>
      <c r="AR62" s="1" t="s">
        <v>394</v>
      </c>
      <c r="AS62" s="1" t="s">
        <v>377</v>
      </c>
      <c r="AT62" s="1" t="s">
        <v>377</v>
      </c>
      <c r="AU62" s="1" t="s">
        <v>394</v>
      </c>
      <c r="AV62" s="1" t="s">
        <v>377</v>
      </c>
      <c r="AW62" s="1" t="s">
        <v>394</v>
      </c>
      <c r="AX62" s="1" t="s">
        <v>378</v>
      </c>
      <c r="AY62" s="1" t="s">
        <v>394</v>
      </c>
      <c r="AZ62" s="1" t="s">
        <v>394</v>
      </c>
      <c r="BA62" s="1" t="s">
        <v>825</v>
      </c>
      <c r="BB62" s="1" t="s">
        <v>377</v>
      </c>
      <c r="BC62" s="1" t="s">
        <v>377</v>
      </c>
      <c r="BD62" s="1" t="s">
        <v>377</v>
      </c>
      <c r="BE62" s="1" t="s">
        <v>377</v>
      </c>
      <c r="BF62" s="1" t="s">
        <v>377</v>
      </c>
      <c r="BH62" s="1" t="s">
        <v>785</v>
      </c>
      <c r="BI62" s="1" t="s">
        <v>394</v>
      </c>
      <c r="BJ62" s="1" t="s">
        <v>394</v>
      </c>
      <c r="BK62" s="1" t="s">
        <v>394</v>
      </c>
    </row>
    <row r="63" spans="1:63" x14ac:dyDescent="0.25">
      <c r="A63" s="1">
        <v>62</v>
      </c>
      <c r="B63" s="1" t="s">
        <v>131</v>
      </c>
      <c r="C63" s="1" t="s">
        <v>451</v>
      </c>
      <c r="D63" s="1" t="s">
        <v>44</v>
      </c>
      <c r="E63" s="1" t="s">
        <v>8</v>
      </c>
      <c r="F63" s="1" t="s">
        <v>450</v>
      </c>
      <c r="G63" s="1" t="s">
        <v>56</v>
      </c>
      <c r="H63" s="1">
        <v>2017</v>
      </c>
      <c r="I63" s="1" t="s">
        <v>212</v>
      </c>
      <c r="J63" s="1" t="s">
        <v>51</v>
      </c>
      <c r="K63" s="1">
        <v>29</v>
      </c>
      <c r="L63" s="1" t="s">
        <v>475</v>
      </c>
      <c r="M63" s="1" t="s">
        <v>755</v>
      </c>
      <c r="N63" s="1" t="s">
        <v>466</v>
      </c>
      <c r="O63" s="1" t="s">
        <v>44</v>
      </c>
      <c r="P63" s="1" t="s">
        <v>20</v>
      </c>
      <c r="Q63" s="1" t="s">
        <v>466</v>
      </c>
      <c r="R63" s="1" t="s">
        <v>47</v>
      </c>
      <c r="S63" s="1" t="s">
        <v>21</v>
      </c>
      <c r="T63" s="1" t="s">
        <v>43</v>
      </c>
      <c r="U63" s="1" t="s">
        <v>209</v>
      </c>
      <c r="V63" s="1" t="s">
        <v>44</v>
      </c>
      <c r="W63" s="1" t="s">
        <v>377</v>
      </c>
      <c r="X63" s="1" t="s">
        <v>394</v>
      </c>
      <c r="Y63" s="1" t="s">
        <v>394</v>
      </c>
      <c r="Z63" s="1" t="s">
        <v>394</v>
      </c>
      <c r="AA63" s="1" t="s">
        <v>394</v>
      </c>
      <c r="AB63" s="3" t="s">
        <v>394</v>
      </c>
      <c r="AC63" s="1" t="str">
        <f t="shared" si="0"/>
        <v>No</v>
      </c>
      <c r="AD63" s="1" t="s">
        <v>394</v>
      </c>
      <c r="AE63" s="1" t="s">
        <v>394</v>
      </c>
      <c r="AF63" s="1" t="s">
        <v>394</v>
      </c>
      <c r="AG63" s="1" t="s">
        <v>394</v>
      </c>
      <c r="AH63" s="1" t="s">
        <v>394</v>
      </c>
      <c r="AI63" s="1" t="s">
        <v>394</v>
      </c>
      <c r="AJ63" s="1" t="s">
        <v>394</v>
      </c>
      <c r="AK63" s="1" t="s">
        <v>394</v>
      </c>
      <c r="AL63" s="1" t="s">
        <v>394</v>
      </c>
      <c r="AM63" s="1" t="str">
        <f t="shared" si="1"/>
        <v>OK</v>
      </c>
      <c r="AN63" s="1" t="s">
        <v>383</v>
      </c>
      <c r="AO63" s="1" t="s">
        <v>396</v>
      </c>
      <c r="AP63" s="1" t="s">
        <v>394</v>
      </c>
      <c r="AQ63" s="1" t="s">
        <v>394</v>
      </c>
      <c r="AR63" s="1" t="s">
        <v>394</v>
      </c>
      <c r="AS63" s="1" t="s">
        <v>377</v>
      </c>
      <c r="AT63" s="1" t="s">
        <v>377</v>
      </c>
      <c r="AU63" s="1" t="s">
        <v>394</v>
      </c>
      <c r="AV63" s="1" t="s">
        <v>377</v>
      </c>
      <c r="AW63" s="1" t="s">
        <v>394</v>
      </c>
      <c r="AX63" s="1" t="s">
        <v>377</v>
      </c>
      <c r="AY63" s="1" t="s">
        <v>394</v>
      </c>
      <c r="AZ63" s="1" t="s">
        <v>394</v>
      </c>
      <c r="BA63" s="1" t="s">
        <v>825</v>
      </c>
      <c r="BB63" s="1" t="s">
        <v>377</v>
      </c>
      <c r="BC63" s="1" t="s">
        <v>825</v>
      </c>
      <c r="BD63" s="1" t="s">
        <v>825</v>
      </c>
      <c r="BE63" s="1" t="s">
        <v>394</v>
      </c>
      <c r="BF63" s="1" t="s">
        <v>394</v>
      </c>
      <c r="BH63" s="1" t="s">
        <v>785</v>
      </c>
      <c r="BI63" s="1" t="s">
        <v>394</v>
      </c>
      <c r="BJ63" s="1" t="s">
        <v>394</v>
      </c>
      <c r="BK63" s="1" t="s">
        <v>394</v>
      </c>
    </row>
    <row r="64" spans="1:63" x14ac:dyDescent="0.25">
      <c r="A64" s="1">
        <v>63</v>
      </c>
      <c r="B64" s="1" t="s">
        <v>132</v>
      </c>
      <c r="C64" s="1" t="s">
        <v>454</v>
      </c>
      <c r="D64" s="1" t="s">
        <v>44</v>
      </c>
      <c r="E64" s="1" t="s">
        <v>8</v>
      </c>
      <c r="F64" s="1" t="s">
        <v>453</v>
      </c>
      <c r="G64" s="1" t="s">
        <v>783</v>
      </c>
      <c r="H64" s="1">
        <v>2018</v>
      </c>
      <c r="I64" s="1" t="s">
        <v>34</v>
      </c>
      <c r="J64" s="1" t="s">
        <v>51</v>
      </c>
      <c r="K64" s="1">
        <v>182</v>
      </c>
      <c r="L64" s="1" t="s">
        <v>475</v>
      </c>
      <c r="M64" s="1" t="s">
        <v>452</v>
      </c>
      <c r="N64" s="1" t="s">
        <v>466</v>
      </c>
      <c r="O64" s="1" t="s">
        <v>44</v>
      </c>
      <c r="P64" s="1" t="s">
        <v>20</v>
      </c>
      <c r="Q64" s="1" t="s">
        <v>466</v>
      </c>
      <c r="R64" s="1" t="s">
        <v>47</v>
      </c>
      <c r="S64" s="1" t="s">
        <v>21</v>
      </c>
      <c r="T64" s="1" t="s">
        <v>43</v>
      </c>
      <c r="U64" s="1" t="s">
        <v>209</v>
      </c>
      <c r="V64" s="1" t="s">
        <v>44</v>
      </c>
      <c r="W64" s="1" t="s">
        <v>377</v>
      </c>
      <c r="X64" s="1" t="s">
        <v>394</v>
      </c>
      <c r="Y64" s="1" t="s">
        <v>394</v>
      </c>
      <c r="Z64" s="1" t="s">
        <v>377</v>
      </c>
      <c r="AA64" s="1" t="s">
        <v>394</v>
      </c>
      <c r="AB64" s="3" t="s">
        <v>394</v>
      </c>
      <c r="AC64" s="1" t="str">
        <f t="shared" si="0"/>
        <v>Yes</v>
      </c>
      <c r="AD64" s="1" t="s">
        <v>394</v>
      </c>
      <c r="AE64" s="1" t="s">
        <v>394</v>
      </c>
      <c r="AF64" s="1" t="s">
        <v>394</v>
      </c>
      <c r="AG64" s="1" t="s">
        <v>394</v>
      </c>
      <c r="AH64" s="1" t="s">
        <v>394</v>
      </c>
      <c r="AI64" s="1" t="s">
        <v>394</v>
      </c>
      <c r="AJ64" s="1" t="s">
        <v>394</v>
      </c>
      <c r="AK64" s="1" t="s">
        <v>394</v>
      </c>
      <c r="AL64" s="1" t="s">
        <v>394</v>
      </c>
      <c r="AM64" s="1" t="str">
        <f t="shared" si="1"/>
        <v>OK</v>
      </c>
      <c r="AN64" s="1" t="s">
        <v>383</v>
      </c>
      <c r="AO64" s="1" t="s">
        <v>384</v>
      </c>
      <c r="AP64" s="1" t="s">
        <v>394</v>
      </c>
      <c r="AQ64" s="1" t="s">
        <v>394</v>
      </c>
      <c r="AR64" s="1" t="s">
        <v>394</v>
      </c>
      <c r="AS64" s="1" t="s">
        <v>377</v>
      </c>
      <c r="AT64" s="1" t="s">
        <v>377</v>
      </c>
      <c r="AU64" s="1" t="s">
        <v>394</v>
      </c>
      <c r="AV64" s="1" t="s">
        <v>377</v>
      </c>
      <c r="AW64" s="1" t="s">
        <v>394</v>
      </c>
      <c r="AX64" s="1" t="s">
        <v>377</v>
      </c>
      <c r="AY64" s="1" t="s">
        <v>394</v>
      </c>
      <c r="AZ64" s="1" t="s">
        <v>377</v>
      </c>
      <c r="BA64" s="1" t="s">
        <v>825</v>
      </c>
      <c r="BB64" s="1" t="s">
        <v>377</v>
      </c>
      <c r="BC64" s="1" t="s">
        <v>377</v>
      </c>
      <c r="BD64" s="1" t="s">
        <v>377</v>
      </c>
      <c r="BE64" s="1" t="s">
        <v>394</v>
      </c>
      <c r="BF64" s="1" t="s">
        <v>394</v>
      </c>
      <c r="BH64" s="1" t="s">
        <v>785</v>
      </c>
      <c r="BI64" s="1" t="s">
        <v>394</v>
      </c>
      <c r="BJ64" s="1" t="s">
        <v>394</v>
      </c>
      <c r="BK64" s="1" t="s">
        <v>394</v>
      </c>
    </row>
    <row r="65" spans="1:63" x14ac:dyDescent="0.25">
      <c r="A65" s="1">
        <v>64</v>
      </c>
      <c r="B65" s="1" t="s">
        <v>133</v>
      </c>
      <c r="C65" s="1" t="s">
        <v>457</v>
      </c>
      <c r="D65" s="1" t="s">
        <v>44</v>
      </c>
      <c r="E65" s="1" t="s">
        <v>8</v>
      </c>
      <c r="F65" s="1" t="s">
        <v>456</v>
      </c>
      <c r="G65" s="1" t="s">
        <v>767</v>
      </c>
      <c r="H65" s="1">
        <v>2017</v>
      </c>
      <c r="I65" s="1" t="s">
        <v>458</v>
      </c>
      <c r="J65" s="1" t="s">
        <v>51</v>
      </c>
      <c r="K65" s="1">
        <v>47</v>
      </c>
      <c r="L65" s="1" t="s">
        <v>475</v>
      </c>
      <c r="M65" s="1" t="s">
        <v>455</v>
      </c>
      <c r="N65" s="1" t="s">
        <v>466</v>
      </c>
      <c r="O65" s="1" t="s">
        <v>44</v>
      </c>
      <c r="P65" s="1" t="s">
        <v>20</v>
      </c>
      <c r="Q65" s="1" t="s">
        <v>466</v>
      </c>
      <c r="R65" s="1" t="s">
        <v>47</v>
      </c>
      <c r="S65" s="1" t="s">
        <v>21</v>
      </c>
      <c r="T65" s="1" t="s">
        <v>43</v>
      </c>
      <c r="U65" s="1" t="s">
        <v>209</v>
      </c>
      <c r="V65" s="1" t="s">
        <v>44</v>
      </c>
      <c r="W65" s="1" t="s">
        <v>377</v>
      </c>
      <c r="X65" s="1" t="s">
        <v>377</v>
      </c>
      <c r="Y65" s="1" t="s">
        <v>394</v>
      </c>
      <c r="Z65" s="1" t="s">
        <v>394</v>
      </c>
      <c r="AA65" s="1" t="s">
        <v>394</v>
      </c>
      <c r="AB65" s="3" t="s">
        <v>394</v>
      </c>
      <c r="AC65" s="1" t="str">
        <f t="shared" si="0"/>
        <v>No</v>
      </c>
      <c r="AD65" s="1" t="s">
        <v>394</v>
      </c>
      <c r="AE65" s="1" t="s">
        <v>394</v>
      </c>
      <c r="AF65" s="1" t="s">
        <v>394</v>
      </c>
      <c r="AG65" s="1" t="s">
        <v>394</v>
      </c>
      <c r="AH65" s="1" t="s">
        <v>394</v>
      </c>
      <c r="AI65" s="1" t="s">
        <v>394</v>
      </c>
      <c r="AJ65" s="1" t="s">
        <v>394</v>
      </c>
      <c r="AK65" s="1" t="s">
        <v>394</v>
      </c>
      <c r="AL65" s="1" t="s">
        <v>394</v>
      </c>
      <c r="AM65" s="1" t="str">
        <f t="shared" si="1"/>
        <v>OK</v>
      </c>
      <c r="AN65" s="1" t="s">
        <v>383</v>
      </c>
      <c r="AO65" s="1" t="s">
        <v>47</v>
      </c>
      <c r="AP65" s="1" t="s">
        <v>394</v>
      </c>
      <c r="AQ65" s="1" t="s">
        <v>394</v>
      </c>
      <c r="AR65" s="1" t="s">
        <v>394</v>
      </c>
      <c r="AS65" s="1" t="s">
        <v>377</v>
      </c>
      <c r="AT65" s="1" t="s">
        <v>377</v>
      </c>
      <c r="AU65" s="1" t="s">
        <v>394</v>
      </c>
      <c r="AV65" s="1" t="s">
        <v>377</v>
      </c>
      <c r="AW65" s="1" t="s">
        <v>394</v>
      </c>
      <c r="AX65" s="1" t="s">
        <v>378</v>
      </c>
      <c r="AY65" s="1" t="s">
        <v>394</v>
      </c>
      <c r="AZ65" s="1" t="s">
        <v>394</v>
      </c>
      <c r="BA65" s="1" t="s">
        <v>825</v>
      </c>
      <c r="BB65" s="1" t="s">
        <v>378</v>
      </c>
      <c r="BC65" s="1" t="s">
        <v>825</v>
      </c>
      <c r="BD65" s="1" t="s">
        <v>825</v>
      </c>
      <c r="BE65" s="1" t="s">
        <v>394</v>
      </c>
      <c r="BF65" s="1" t="s">
        <v>394</v>
      </c>
      <c r="BH65" s="1" t="s">
        <v>785</v>
      </c>
      <c r="BI65" s="1" t="s">
        <v>394</v>
      </c>
      <c r="BJ65" s="1" t="s">
        <v>394</v>
      </c>
      <c r="BK65" s="1" t="s">
        <v>394</v>
      </c>
    </row>
    <row r="66" spans="1:63" x14ac:dyDescent="0.25">
      <c r="A66" s="1">
        <v>65</v>
      </c>
      <c r="B66" s="1" t="s">
        <v>134</v>
      </c>
      <c r="C66" s="1" t="s">
        <v>461</v>
      </c>
      <c r="D66" s="1" t="s">
        <v>44</v>
      </c>
      <c r="E66" s="1" t="s">
        <v>8</v>
      </c>
      <c r="F66" s="1" t="s">
        <v>460</v>
      </c>
      <c r="G66" s="1" t="s">
        <v>767</v>
      </c>
      <c r="H66" s="1">
        <v>2019</v>
      </c>
      <c r="I66" s="1" t="s">
        <v>34</v>
      </c>
      <c r="J66" s="1" t="s">
        <v>51</v>
      </c>
      <c r="K66" s="1">
        <v>110</v>
      </c>
      <c r="L66" s="1" t="s">
        <v>475</v>
      </c>
      <c r="M66" s="1" t="s">
        <v>459</v>
      </c>
      <c r="N66" s="1" t="s">
        <v>466</v>
      </c>
      <c r="O66" s="1" t="s">
        <v>44</v>
      </c>
      <c r="P66" s="1" t="s">
        <v>20</v>
      </c>
      <c r="Q66" s="1" t="s">
        <v>466</v>
      </c>
      <c r="R66" s="1" t="s">
        <v>47</v>
      </c>
      <c r="S66" s="1" t="s">
        <v>21</v>
      </c>
      <c r="T66" s="1" t="s">
        <v>43</v>
      </c>
      <c r="U66" s="1" t="s">
        <v>209</v>
      </c>
      <c r="V66" s="1" t="s">
        <v>44</v>
      </c>
      <c r="W66" s="1" t="s">
        <v>377</v>
      </c>
      <c r="X66" s="1" t="s">
        <v>394</v>
      </c>
      <c r="Y66" s="1" t="s">
        <v>394</v>
      </c>
      <c r="Z66" s="1" t="s">
        <v>377</v>
      </c>
      <c r="AA66" s="1" t="s">
        <v>394</v>
      </c>
      <c r="AB66" s="3" t="s">
        <v>394</v>
      </c>
      <c r="AC66" s="1" t="str">
        <f t="shared" si="0"/>
        <v>Yes</v>
      </c>
      <c r="AD66" s="1" t="s">
        <v>394</v>
      </c>
      <c r="AE66" s="1" t="s">
        <v>394</v>
      </c>
      <c r="AF66" s="1" t="s">
        <v>394</v>
      </c>
      <c r="AG66" s="1" t="s">
        <v>394</v>
      </c>
      <c r="AH66" s="1" t="s">
        <v>394</v>
      </c>
      <c r="AI66" s="1" t="s">
        <v>394</v>
      </c>
      <c r="AJ66" s="1" t="s">
        <v>394</v>
      </c>
      <c r="AK66" s="1" t="s">
        <v>394</v>
      </c>
      <c r="AL66" s="1" t="s">
        <v>394</v>
      </c>
      <c r="AM66" s="1" t="str">
        <f t="shared" si="1"/>
        <v>OK</v>
      </c>
      <c r="AN66" s="1" t="s">
        <v>383</v>
      </c>
      <c r="AO66" s="1" t="s">
        <v>384</v>
      </c>
      <c r="AP66" s="1" t="s">
        <v>377</v>
      </c>
      <c r="AQ66" s="1" t="s">
        <v>394</v>
      </c>
      <c r="AR66" s="1" t="s">
        <v>394</v>
      </c>
      <c r="AS66" s="1" t="s">
        <v>377</v>
      </c>
      <c r="AT66" s="1" t="s">
        <v>377</v>
      </c>
      <c r="AU66" s="1" t="s">
        <v>377</v>
      </c>
      <c r="AV66" s="1" t="s">
        <v>377</v>
      </c>
      <c r="AW66" s="1" t="s">
        <v>394</v>
      </c>
      <c r="AX66" s="1" t="s">
        <v>377</v>
      </c>
      <c r="AY66" s="1" t="s">
        <v>394</v>
      </c>
      <c r="AZ66" s="1" t="s">
        <v>394</v>
      </c>
      <c r="BA66" s="1" t="s">
        <v>394</v>
      </c>
      <c r="BB66" s="1" t="s">
        <v>377</v>
      </c>
      <c r="BC66" s="1" t="s">
        <v>377</v>
      </c>
      <c r="BD66" s="1" t="s">
        <v>377</v>
      </c>
      <c r="BE66" s="1" t="s">
        <v>394</v>
      </c>
      <c r="BF66" s="1" t="s">
        <v>394</v>
      </c>
      <c r="BH66" s="1" t="s">
        <v>785</v>
      </c>
      <c r="BI66" s="1" t="s">
        <v>394</v>
      </c>
      <c r="BJ66" s="1" t="s">
        <v>394</v>
      </c>
      <c r="BK66" s="1" t="s">
        <v>394</v>
      </c>
    </row>
    <row r="67" spans="1:63" x14ac:dyDescent="0.25">
      <c r="A67" s="1">
        <v>66</v>
      </c>
      <c r="B67" s="1" t="s">
        <v>135</v>
      </c>
      <c r="C67" s="1" t="s">
        <v>467</v>
      </c>
      <c r="D67" s="1" t="s">
        <v>44</v>
      </c>
      <c r="E67" s="1" t="s">
        <v>8</v>
      </c>
      <c r="F67" s="1" t="s">
        <v>468</v>
      </c>
      <c r="G67" s="1" t="s">
        <v>56</v>
      </c>
      <c r="H67" s="1">
        <v>2016</v>
      </c>
      <c r="I67" s="1" t="s">
        <v>212</v>
      </c>
      <c r="J67" s="1" t="s">
        <v>51</v>
      </c>
      <c r="K67" s="1">
        <v>72</v>
      </c>
      <c r="L67" s="1" t="s">
        <v>475</v>
      </c>
      <c r="M67" s="1" t="s">
        <v>463</v>
      </c>
      <c r="N67" s="1" t="s">
        <v>466</v>
      </c>
      <c r="O67" s="1" t="s">
        <v>44</v>
      </c>
      <c r="P67" s="1" t="s">
        <v>20</v>
      </c>
      <c r="Q67" s="1" t="s">
        <v>466</v>
      </c>
      <c r="R67" s="1" t="s">
        <v>47</v>
      </c>
      <c r="S67" s="1" t="s">
        <v>21</v>
      </c>
      <c r="T67" s="1" t="s">
        <v>43</v>
      </c>
      <c r="U67" s="1" t="s">
        <v>209</v>
      </c>
      <c r="V67" s="1" t="s">
        <v>44</v>
      </c>
      <c r="W67" s="1" t="s">
        <v>377</v>
      </c>
      <c r="X67" s="1" t="s">
        <v>394</v>
      </c>
      <c r="Y67" s="1" t="s">
        <v>394</v>
      </c>
      <c r="Z67" s="1" t="s">
        <v>377</v>
      </c>
      <c r="AA67" s="1" t="s">
        <v>394</v>
      </c>
      <c r="AB67" s="3" t="s">
        <v>394</v>
      </c>
      <c r="AC67" s="1" t="str">
        <f t="shared" ref="AC67:AC130" si="2">IF(OR(Z67="Yes",AA67="Yes",AB67="Yes"),"Yes","No")</f>
        <v>Yes</v>
      </c>
      <c r="AD67" s="1" t="s">
        <v>394</v>
      </c>
      <c r="AE67" s="1" t="s">
        <v>394</v>
      </c>
      <c r="AF67" s="1" t="s">
        <v>394</v>
      </c>
      <c r="AG67" s="1" t="s">
        <v>394</v>
      </c>
      <c r="AH67" s="1" t="s">
        <v>394</v>
      </c>
      <c r="AI67" s="1" t="s">
        <v>394</v>
      </c>
      <c r="AJ67" s="1" t="s">
        <v>394</v>
      </c>
      <c r="AK67" s="1" t="s">
        <v>394</v>
      </c>
      <c r="AL67" s="1" t="s">
        <v>394</v>
      </c>
      <c r="AM67" s="1" t="str">
        <f t="shared" ref="AM67:AM130" si="3">IF(COUNTIF(W67:AL67,"Yes")&gt;0,"OK","")</f>
        <v>OK</v>
      </c>
      <c r="AN67" s="1" t="s">
        <v>383</v>
      </c>
      <c r="AO67" s="1" t="s">
        <v>47</v>
      </c>
      <c r="AP67" s="1" t="s">
        <v>394</v>
      </c>
      <c r="AQ67" s="1" t="s">
        <v>394</v>
      </c>
      <c r="AR67" s="1" t="s">
        <v>394</v>
      </c>
      <c r="AS67" s="1" t="s">
        <v>377</v>
      </c>
      <c r="AT67" s="1" t="s">
        <v>378</v>
      </c>
      <c r="AU67" s="1" t="s">
        <v>378</v>
      </c>
      <c r="AV67" s="1" t="s">
        <v>377</v>
      </c>
      <c r="AW67" s="1" t="s">
        <v>394</v>
      </c>
      <c r="AX67" s="1" t="s">
        <v>377</v>
      </c>
      <c r="AY67" s="1" t="s">
        <v>377</v>
      </c>
      <c r="AZ67" s="1" t="s">
        <v>394</v>
      </c>
      <c r="BA67" s="1" t="s">
        <v>394</v>
      </c>
      <c r="BB67" s="1" t="s">
        <v>377</v>
      </c>
      <c r="BC67" s="1" t="s">
        <v>377</v>
      </c>
      <c r="BD67" s="1" t="s">
        <v>394</v>
      </c>
      <c r="BE67" s="1" t="s">
        <v>394</v>
      </c>
      <c r="BF67" s="1" t="s">
        <v>394</v>
      </c>
      <c r="BH67" s="1" t="s">
        <v>785</v>
      </c>
      <c r="BI67" s="1" t="s">
        <v>394</v>
      </c>
      <c r="BJ67" s="1" t="s">
        <v>394</v>
      </c>
      <c r="BK67" s="1" t="s">
        <v>394</v>
      </c>
    </row>
    <row r="68" spans="1:63" x14ac:dyDescent="0.25">
      <c r="A68" s="1">
        <v>67</v>
      </c>
      <c r="B68" s="1" t="s">
        <v>136</v>
      </c>
      <c r="C68" s="1" t="s">
        <v>473</v>
      </c>
      <c r="D68" s="1" t="s">
        <v>44</v>
      </c>
      <c r="E68" s="1" t="s">
        <v>8</v>
      </c>
      <c r="F68" s="1" t="s">
        <v>472</v>
      </c>
      <c r="G68" s="1" t="s">
        <v>56</v>
      </c>
      <c r="H68" s="1">
        <v>2021</v>
      </c>
      <c r="I68" s="1" t="s">
        <v>242</v>
      </c>
      <c r="J68" s="1" t="s">
        <v>51</v>
      </c>
      <c r="K68" s="1">
        <v>595</v>
      </c>
      <c r="L68" s="1" t="s">
        <v>474</v>
      </c>
      <c r="M68" s="1" t="s">
        <v>471</v>
      </c>
      <c r="N68" s="1" t="s">
        <v>820</v>
      </c>
      <c r="O68" s="1" t="s">
        <v>44</v>
      </c>
      <c r="P68" s="1" t="s">
        <v>20</v>
      </c>
      <c r="Q68" s="1" t="s">
        <v>22</v>
      </c>
      <c r="R68" s="1" t="s">
        <v>47</v>
      </c>
      <c r="S68" s="1" t="s">
        <v>21</v>
      </c>
      <c r="T68" s="1" t="s">
        <v>43</v>
      </c>
      <c r="U68" s="1" t="s">
        <v>469</v>
      </c>
      <c r="V68" s="1" t="s">
        <v>470</v>
      </c>
      <c r="W68" s="1" t="s">
        <v>377</v>
      </c>
      <c r="X68" s="1" t="s">
        <v>377</v>
      </c>
      <c r="Y68" s="1" t="s">
        <v>394</v>
      </c>
      <c r="Z68" s="1" t="s">
        <v>377</v>
      </c>
      <c r="AA68" s="1" t="s">
        <v>394</v>
      </c>
      <c r="AB68" s="3" t="s">
        <v>394</v>
      </c>
      <c r="AC68" s="1" t="str">
        <f t="shared" si="2"/>
        <v>Yes</v>
      </c>
      <c r="AD68" s="1" t="s">
        <v>394</v>
      </c>
      <c r="AE68" s="1" t="s">
        <v>394</v>
      </c>
      <c r="AF68" s="1" t="s">
        <v>394</v>
      </c>
      <c r="AG68" s="1" t="s">
        <v>394</v>
      </c>
      <c r="AH68" s="1" t="s">
        <v>394</v>
      </c>
      <c r="AI68" s="1" t="s">
        <v>394</v>
      </c>
      <c r="AJ68" s="1" t="s">
        <v>394</v>
      </c>
      <c r="AK68" s="1" t="s">
        <v>394</v>
      </c>
      <c r="AL68" s="1" t="s">
        <v>394</v>
      </c>
      <c r="AM68" s="1" t="str">
        <f t="shared" si="3"/>
        <v>OK</v>
      </c>
      <c r="AN68" s="1" t="s">
        <v>383</v>
      </c>
      <c r="AO68" s="1" t="s">
        <v>388</v>
      </c>
      <c r="AP68" s="1" t="s">
        <v>394</v>
      </c>
      <c r="AQ68" s="1" t="s">
        <v>394</v>
      </c>
      <c r="AR68" s="1" t="s">
        <v>394</v>
      </c>
      <c r="AS68" s="1" t="s">
        <v>377</v>
      </c>
      <c r="AT68" s="1" t="s">
        <v>377</v>
      </c>
      <c r="AU68" s="1" t="s">
        <v>378</v>
      </c>
      <c r="AV68" s="1" t="s">
        <v>378</v>
      </c>
      <c r="AW68" s="1" t="s">
        <v>377</v>
      </c>
      <c r="AX68" s="1" t="s">
        <v>378</v>
      </c>
      <c r="AY68" s="1" t="s">
        <v>394</v>
      </c>
      <c r="AZ68" s="1" t="s">
        <v>394</v>
      </c>
      <c r="BA68" s="1" t="s">
        <v>377</v>
      </c>
      <c r="BB68" s="1" t="s">
        <v>377</v>
      </c>
      <c r="BC68" s="1" t="s">
        <v>377</v>
      </c>
      <c r="BD68" s="1" t="s">
        <v>377</v>
      </c>
      <c r="BE68" s="1" t="s">
        <v>377</v>
      </c>
      <c r="BF68" s="1" t="s">
        <v>377</v>
      </c>
      <c r="BH68" s="1" t="s">
        <v>785</v>
      </c>
      <c r="BI68" s="1" t="s">
        <v>394</v>
      </c>
      <c r="BJ68" s="1" t="s">
        <v>394</v>
      </c>
      <c r="BK68" s="1" t="s">
        <v>394</v>
      </c>
    </row>
    <row r="69" spans="1:63" x14ac:dyDescent="0.25">
      <c r="A69" s="1">
        <v>68</v>
      </c>
      <c r="B69" s="1" t="s">
        <v>137</v>
      </c>
      <c r="C69" s="1" t="s">
        <v>480</v>
      </c>
      <c r="D69" s="1" t="s">
        <v>44</v>
      </c>
      <c r="E69" s="1" t="s">
        <v>8</v>
      </c>
      <c r="F69" s="1" t="s">
        <v>478</v>
      </c>
      <c r="G69" s="1" t="s">
        <v>400</v>
      </c>
      <c r="H69" s="1">
        <v>2022</v>
      </c>
      <c r="I69" s="1" t="s">
        <v>34</v>
      </c>
      <c r="J69" s="1" t="s">
        <v>51</v>
      </c>
      <c r="K69" s="1">
        <v>1271</v>
      </c>
      <c r="L69" s="1" t="s">
        <v>475</v>
      </c>
      <c r="M69" s="1" t="s">
        <v>47</v>
      </c>
      <c r="N69" s="1" t="s">
        <v>466</v>
      </c>
      <c r="O69" s="1" t="s">
        <v>44</v>
      </c>
      <c r="P69" s="1" t="s">
        <v>20</v>
      </c>
      <c r="Q69" s="1" t="s">
        <v>466</v>
      </c>
      <c r="R69" s="1" t="s">
        <v>479</v>
      </c>
      <c r="S69" s="1" t="s">
        <v>21</v>
      </c>
      <c r="T69" s="1" t="s">
        <v>43</v>
      </c>
      <c r="U69" s="1" t="s">
        <v>41</v>
      </c>
      <c r="V69" s="1" t="s">
        <v>44</v>
      </c>
      <c r="W69" s="1" t="s">
        <v>377</v>
      </c>
      <c r="X69" s="1" t="s">
        <v>377</v>
      </c>
      <c r="Y69" s="1" t="s">
        <v>394</v>
      </c>
      <c r="Z69" s="1" t="s">
        <v>377</v>
      </c>
      <c r="AA69" s="1" t="s">
        <v>394</v>
      </c>
      <c r="AB69" s="3" t="s">
        <v>394</v>
      </c>
      <c r="AC69" s="1" t="str">
        <f t="shared" si="2"/>
        <v>Yes</v>
      </c>
      <c r="AD69" s="1" t="s">
        <v>394</v>
      </c>
      <c r="AE69" s="1" t="s">
        <v>394</v>
      </c>
      <c r="AF69" s="1" t="s">
        <v>394</v>
      </c>
      <c r="AG69" s="1" t="s">
        <v>394</v>
      </c>
      <c r="AH69" s="1" t="s">
        <v>394</v>
      </c>
      <c r="AI69" s="1" t="s">
        <v>394</v>
      </c>
      <c r="AJ69" s="1" t="s">
        <v>394</v>
      </c>
      <c r="AK69" s="1" t="s">
        <v>377</v>
      </c>
      <c r="AL69" s="1" t="s">
        <v>394</v>
      </c>
      <c r="AM69" s="1" t="str">
        <f t="shared" si="3"/>
        <v>OK</v>
      </c>
      <c r="AN69" s="1" t="s">
        <v>383</v>
      </c>
      <c r="AO69" s="1" t="s">
        <v>384</v>
      </c>
      <c r="AP69" s="1" t="s">
        <v>394</v>
      </c>
      <c r="AQ69" s="1" t="s">
        <v>394</v>
      </c>
      <c r="AR69" s="1" t="s">
        <v>394</v>
      </c>
      <c r="AS69" s="1" t="s">
        <v>377</v>
      </c>
      <c r="AT69" s="1" t="s">
        <v>377</v>
      </c>
      <c r="AU69" s="1" t="s">
        <v>377</v>
      </c>
      <c r="AV69" s="1" t="s">
        <v>377</v>
      </c>
      <c r="AW69" s="1" t="s">
        <v>394</v>
      </c>
      <c r="AX69" s="1" t="s">
        <v>377</v>
      </c>
      <c r="AY69" s="1" t="s">
        <v>394</v>
      </c>
      <c r="AZ69" s="1" t="s">
        <v>377</v>
      </c>
      <c r="BA69" s="1" t="s">
        <v>825</v>
      </c>
      <c r="BB69" s="1" t="s">
        <v>377</v>
      </c>
      <c r="BC69" s="1" t="s">
        <v>377</v>
      </c>
      <c r="BD69" s="1" t="s">
        <v>377</v>
      </c>
      <c r="BE69" s="1" t="s">
        <v>377</v>
      </c>
      <c r="BF69" s="1" t="s">
        <v>377</v>
      </c>
      <c r="BH69" s="1" t="s">
        <v>785</v>
      </c>
      <c r="BI69" s="1" t="s">
        <v>394</v>
      </c>
      <c r="BJ69" s="1" t="s">
        <v>394</v>
      </c>
      <c r="BK69" s="1" t="s">
        <v>394</v>
      </c>
    </row>
    <row r="70" spans="1:63" x14ac:dyDescent="0.25">
      <c r="A70" s="1">
        <v>69</v>
      </c>
      <c r="B70" s="1" t="s">
        <v>138</v>
      </c>
      <c r="C70" s="1" t="s">
        <v>484</v>
      </c>
      <c r="D70" s="1" t="s">
        <v>44</v>
      </c>
      <c r="E70" s="1" t="s">
        <v>8</v>
      </c>
      <c r="F70" s="1" t="s">
        <v>483</v>
      </c>
      <c r="G70" s="1" t="s">
        <v>56</v>
      </c>
      <c r="H70" s="1">
        <v>2018</v>
      </c>
      <c r="I70" s="1" t="s">
        <v>36</v>
      </c>
      <c r="J70" s="1" t="s">
        <v>51</v>
      </c>
      <c r="K70" s="1">
        <v>213307</v>
      </c>
      <c r="L70" s="1" t="s">
        <v>308</v>
      </c>
      <c r="M70" s="1" t="s">
        <v>47</v>
      </c>
      <c r="N70" s="1" t="s">
        <v>466</v>
      </c>
      <c r="O70" s="1" t="s">
        <v>44</v>
      </c>
      <c r="P70" s="1" t="s">
        <v>20</v>
      </c>
      <c r="Q70" s="1" t="s">
        <v>466</v>
      </c>
      <c r="R70" s="1" t="s">
        <v>482</v>
      </c>
      <c r="S70" s="1" t="s">
        <v>21</v>
      </c>
      <c r="T70" s="1" t="s">
        <v>43</v>
      </c>
      <c r="U70" s="1" t="s">
        <v>41</v>
      </c>
      <c r="V70" s="1" t="s">
        <v>481</v>
      </c>
      <c r="W70" s="1" t="s">
        <v>394</v>
      </c>
      <c r="X70" s="1" t="s">
        <v>377</v>
      </c>
      <c r="Y70" s="1" t="s">
        <v>394</v>
      </c>
      <c r="Z70" s="1" t="s">
        <v>394</v>
      </c>
      <c r="AA70" s="1" t="s">
        <v>394</v>
      </c>
      <c r="AB70" s="3" t="s">
        <v>394</v>
      </c>
      <c r="AC70" s="1" t="str">
        <f t="shared" si="2"/>
        <v>No</v>
      </c>
      <c r="AD70" s="1" t="s">
        <v>394</v>
      </c>
      <c r="AE70" s="1" t="s">
        <v>394</v>
      </c>
      <c r="AF70" s="1" t="s">
        <v>394</v>
      </c>
      <c r="AG70" s="1" t="s">
        <v>394</v>
      </c>
      <c r="AH70" s="1" t="s">
        <v>377</v>
      </c>
      <c r="AI70" s="1" t="s">
        <v>394</v>
      </c>
      <c r="AJ70" s="1" t="s">
        <v>394</v>
      </c>
      <c r="AK70" s="1" t="s">
        <v>394</v>
      </c>
      <c r="AL70" s="1" t="s">
        <v>394</v>
      </c>
      <c r="AM70" s="1" t="str">
        <f t="shared" si="3"/>
        <v>OK</v>
      </c>
      <c r="AN70" s="1" t="s">
        <v>383</v>
      </c>
      <c r="AO70" s="1" t="s">
        <v>47</v>
      </c>
      <c r="AP70" s="1" t="s">
        <v>394</v>
      </c>
      <c r="AQ70" s="1" t="s">
        <v>394</v>
      </c>
      <c r="AR70" s="1" t="s">
        <v>394</v>
      </c>
      <c r="AS70" s="1" t="s">
        <v>377</v>
      </c>
      <c r="AT70" s="1" t="s">
        <v>377</v>
      </c>
      <c r="AU70" s="1" t="s">
        <v>377</v>
      </c>
      <c r="AV70" s="1" t="s">
        <v>377</v>
      </c>
      <c r="AW70" s="1" t="s">
        <v>378</v>
      </c>
      <c r="AX70" s="1" t="s">
        <v>377</v>
      </c>
      <c r="AY70" s="1" t="s">
        <v>394</v>
      </c>
      <c r="AZ70" s="1" t="s">
        <v>394</v>
      </c>
      <c r="BA70" s="1" t="s">
        <v>825</v>
      </c>
      <c r="BB70" s="1" t="s">
        <v>377</v>
      </c>
      <c r="BC70" s="1" t="s">
        <v>377</v>
      </c>
      <c r="BD70" s="1" t="s">
        <v>394</v>
      </c>
      <c r="BE70" s="1" t="s">
        <v>377</v>
      </c>
      <c r="BF70" s="1" t="s">
        <v>377</v>
      </c>
      <c r="BH70" s="1" t="s">
        <v>785</v>
      </c>
      <c r="BI70" s="1" t="s">
        <v>394</v>
      </c>
      <c r="BJ70" s="1" t="s">
        <v>394</v>
      </c>
      <c r="BK70" s="1" t="s">
        <v>394</v>
      </c>
    </row>
    <row r="71" spans="1:63" x14ac:dyDescent="0.25">
      <c r="A71" s="1">
        <v>70</v>
      </c>
      <c r="B71" s="1" t="s">
        <v>139</v>
      </c>
      <c r="C71" s="1" t="s">
        <v>488</v>
      </c>
      <c r="D71" s="1" t="s">
        <v>44</v>
      </c>
      <c r="E71" s="1" t="s">
        <v>8</v>
      </c>
      <c r="F71" s="1" t="s">
        <v>487</v>
      </c>
      <c r="G71" s="1" t="s">
        <v>486</v>
      </c>
      <c r="H71" s="1">
        <v>2017</v>
      </c>
      <c r="I71" s="1" t="s">
        <v>219</v>
      </c>
      <c r="J71" s="1" t="s">
        <v>51</v>
      </c>
      <c r="K71" s="1">
        <v>196</v>
      </c>
      <c r="L71" s="1" t="s">
        <v>325</v>
      </c>
      <c r="M71" s="1" t="s">
        <v>485</v>
      </c>
      <c r="N71" s="1" t="s">
        <v>252</v>
      </c>
      <c r="O71" s="1" t="s">
        <v>44</v>
      </c>
      <c r="P71" s="1" t="s">
        <v>230</v>
      </c>
      <c r="Q71" s="1" t="s">
        <v>22</v>
      </c>
      <c r="R71" s="1" t="s">
        <v>47</v>
      </c>
      <c r="S71" s="1" t="s">
        <v>57</v>
      </c>
      <c r="T71" s="1" t="s">
        <v>43</v>
      </c>
      <c r="U71" s="1" t="s">
        <v>209</v>
      </c>
      <c r="V71" s="1" t="s">
        <v>44</v>
      </c>
      <c r="W71" s="1" t="s">
        <v>377</v>
      </c>
      <c r="X71" s="1" t="s">
        <v>394</v>
      </c>
      <c r="Y71" s="1" t="s">
        <v>394</v>
      </c>
      <c r="Z71" s="1" t="s">
        <v>394</v>
      </c>
      <c r="AA71" s="1" t="s">
        <v>394</v>
      </c>
      <c r="AB71" s="3" t="s">
        <v>394</v>
      </c>
      <c r="AC71" s="1" t="str">
        <f t="shared" si="2"/>
        <v>No</v>
      </c>
      <c r="AD71" s="1" t="s">
        <v>394</v>
      </c>
      <c r="AE71" s="1" t="s">
        <v>394</v>
      </c>
      <c r="AF71" s="1" t="s">
        <v>394</v>
      </c>
      <c r="AG71" s="1" t="s">
        <v>394</v>
      </c>
      <c r="AH71" s="1" t="s">
        <v>394</v>
      </c>
      <c r="AI71" s="1" t="s">
        <v>394</v>
      </c>
      <c r="AJ71" s="1" t="s">
        <v>394</v>
      </c>
      <c r="AK71" s="1" t="s">
        <v>394</v>
      </c>
      <c r="AL71" s="1" t="s">
        <v>394</v>
      </c>
      <c r="AM71" s="1" t="str">
        <f t="shared" si="3"/>
        <v>OK</v>
      </c>
      <c r="AN71" s="1" t="s">
        <v>383</v>
      </c>
      <c r="AO71" s="1" t="s">
        <v>396</v>
      </c>
      <c r="AP71" s="1" t="s">
        <v>394</v>
      </c>
      <c r="AQ71" s="1" t="s">
        <v>394</v>
      </c>
      <c r="AR71" s="1" t="s">
        <v>394</v>
      </c>
      <c r="AS71" s="1" t="s">
        <v>377</v>
      </c>
      <c r="AT71" s="1" t="s">
        <v>377</v>
      </c>
      <c r="AU71" s="1" t="s">
        <v>377</v>
      </c>
      <c r="AV71" s="1" t="s">
        <v>377</v>
      </c>
      <c r="AW71" s="1" t="s">
        <v>394</v>
      </c>
      <c r="AX71" s="1" t="s">
        <v>378</v>
      </c>
      <c r="AY71" s="1" t="s">
        <v>394</v>
      </c>
      <c r="AZ71" s="1" t="s">
        <v>377</v>
      </c>
      <c r="BA71" s="1" t="s">
        <v>825</v>
      </c>
      <c r="BB71" s="1" t="s">
        <v>377</v>
      </c>
      <c r="BC71" s="1" t="s">
        <v>377</v>
      </c>
      <c r="BD71" s="1" t="s">
        <v>377</v>
      </c>
      <c r="BE71" s="1" t="s">
        <v>394</v>
      </c>
      <c r="BF71" s="1" t="s">
        <v>377</v>
      </c>
      <c r="BH71" s="1" t="s">
        <v>785</v>
      </c>
      <c r="BI71" s="1" t="s">
        <v>394</v>
      </c>
      <c r="BJ71" s="1" t="s">
        <v>394</v>
      </c>
      <c r="BK71" s="1" t="s">
        <v>394</v>
      </c>
    </row>
    <row r="72" spans="1:63" x14ac:dyDescent="0.25">
      <c r="A72" s="1">
        <v>71</v>
      </c>
      <c r="B72" s="1" t="s">
        <v>140</v>
      </c>
      <c r="C72" s="1" t="s">
        <v>491</v>
      </c>
      <c r="D72" s="1" t="s">
        <v>492</v>
      </c>
      <c r="E72" s="1" t="s">
        <v>8</v>
      </c>
      <c r="F72" s="1" t="s">
        <v>490</v>
      </c>
      <c r="G72" s="1" t="s">
        <v>327</v>
      </c>
      <c r="H72" s="1">
        <v>2015</v>
      </c>
      <c r="I72" s="1" t="s">
        <v>34</v>
      </c>
      <c r="J72" s="1" t="s">
        <v>51</v>
      </c>
      <c r="K72" s="1">
        <v>123</v>
      </c>
      <c r="L72" s="1" t="s">
        <v>475</v>
      </c>
      <c r="M72" s="1" t="s">
        <v>47</v>
      </c>
      <c r="N72" s="1" t="s">
        <v>466</v>
      </c>
      <c r="O72" s="1" t="s">
        <v>44</v>
      </c>
      <c r="P72" s="1" t="s">
        <v>20</v>
      </c>
      <c r="Q72" s="1" t="s">
        <v>466</v>
      </c>
      <c r="R72" s="1" t="s">
        <v>47</v>
      </c>
      <c r="S72" s="1" t="s">
        <v>21</v>
      </c>
      <c r="T72" s="1" t="s">
        <v>43</v>
      </c>
      <c r="U72" s="1" t="s">
        <v>209</v>
      </c>
      <c r="V72" s="1" t="s">
        <v>489</v>
      </c>
      <c r="W72" s="1" t="s">
        <v>377</v>
      </c>
      <c r="X72" s="1" t="s">
        <v>377</v>
      </c>
      <c r="Y72" s="1" t="s">
        <v>394</v>
      </c>
      <c r="Z72" s="1" t="s">
        <v>377</v>
      </c>
      <c r="AA72" s="1" t="s">
        <v>394</v>
      </c>
      <c r="AB72" s="3" t="s">
        <v>394</v>
      </c>
      <c r="AC72" s="1" t="str">
        <f t="shared" si="2"/>
        <v>Yes</v>
      </c>
      <c r="AD72" s="1" t="s">
        <v>394</v>
      </c>
      <c r="AE72" s="1" t="s">
        <v>394</v>
      </c>
      <c r="AF72" s="1" t="s">
        <v>394</v>
      </c>
      <c r="AG72" s="1" t="s">
        <v>394</v>
      </c>
      <c r="AH72" s="1" t="s">
        <v>394</v>
      </c>
      <c r="AI72" s="1" t="s">
        <v>394</v>
      </c>
      <c r="AJ72" s="1" t="s">
        <v>394</v>
      </c>
      <c r="AK72" s="1" t="s">
        <v>394</v>
      </c>
      <c r="AL72" s="1" t="s">
        <v>394</v>
      </c>
      <c r="AM72" s="1" t="str">
        <f t="shared" si="3"/>
        <v>OK</v>
      </c>
      <c r="AN72" s="1" t="s">
        <v>383</v>
      </c>
      <c r="AO72" s="1" t="s">
        <v>387</v>
      </c>
      <c r="AP72" s="1" t="s">
        <v>377</v>
      </c>
      <c r="AQ72" s="1" t="s">
        <v>394</v>
      </c>
      <c r="AR72" s="1" t="s">
        <v>394</v>
      </c>
      <c r="AS72" s="1" t="s">
        <v>377</v>
      </c>
      <c r="AT72" s="1" t="s">
        <v>377</v>
      </c>
      <c r="AU72" s="1" t="s">
        <v>377</v>
      </c>
      <c r="AV72" s="1" t="s">
        <v>377</v>
      </c>
      <c r="AW72" s="1" t="s">
        <v>394</v>
      </c>
      <c r="AX72" s="1" t="s">
        <v>377</v>
      </c>
      <c r="AY72" s="1" t="s">
        <v>394</v>
      </c>
      <c r="AZ72" s="1" t="s">
        <v>394</v>
      </c>
      <c r="BA72" s="1" t="s">
        <v>825</v>
      </c>
      <c r="BB72" s="1" t="s">
        <v>377</v>
      </c>
      <c r="BC72" s="1" t="s">
        <v>377</v>
      </c>
      <c r="BD72" s="1" t="s">
        <v>377</v>
      </c>
      <c r="BE72" s="1" t="s">
        <v>377</v>
      </c>
      <c r="BF72" s="1" t="s">
        <v>377</v>
      </c>
      <c r="BH72" s="1" t="s">
        <v>785</v>
      </c>
      <c r="BI72" s="1" t="s">
        <v>394</v>
      </c>
      <c r="BJ72" s="1" t="s">
        <v>394</v>
      </c>
      <c r="BK72" s="1" t="s">
        <v>394</v>
      </c>
    </row>
    <row r="73" spans="1:63" x14ac:dyDescent="0.25">
      <c r="A73" s="1">
        <v>72</v>
      </c>
      <c r="B73" s="1" t="s">
        <v>141</v>
      </c>
      <c r="C73" s="1" t="s">
        <v>494</v>
      </c>
      <c r="D73" s="1" t="s">
        <v>44</v>
      </c>
      <c r="E73" s="1" t="s">
        <v>8</v>
      </c>
      <c r="F73" s="1" t="s">
        <v>493</v>
      </c>
      <c r="G73" s="1" t="s">
        <v>288</v>
      </c>
      <c r="H73" s="1">
        <v>2023</v>
      </c>
      <c r="I73" s="1" t="s">
        <v>34</v>
      </c>
      <c r="J73" s="1" t="s">
        <v>51</v>
      </c>
      <c r="K73" s="1">
        <v>3024</v>
      </c>
      <c r="L73" s="1" t="s">
        <v>475</v>
      </c>
      <c r="M73" s="1" t="s">
        <v>47</v>
      </c>
      <c r="N73" s="1" t="s">
        <v>466</v>
      </c>
      <c r="O73" s="1" t="s">
        <v>44</v>
      </c>
      <c r="P73" s="1" t="s">
        <v>20</v>
      </c>
      <c r="Q73" s="1" t="s">
        <v>466</v>
      </c>
      <c r="R73" s="1" t="s">
        <v>495</v>
      </c>
      <c r="S73" s="1" t="s">
        <v>21</v>
      </c>
      <c r="T73" s="1" t="s">
        <v>43</v>
      </c>
      <c r="U73" s="1" t="s">
        <v>299</v>
      </c>
      <c r="V73" s="1" t="s">
        <v>496</v>
      </c>
      <c r="W73" s="1" t="s">
        <v>394</v>
      </c>
      <c r="X73" s="1" t="s">
        <v>377</v>
      </c>
      <c r="Y73" s="1" t="s">
        <v>394</v>
      </c>
      <c r="Z73" s="1" t="s">
        <v>394</v>
      </c>
      <c r="AA73" s="1" t="s">
        <v>394</v>
      </c>
      <c r="AB73" s="3" t="s">
        <v>394</v>
      </c>
      <c r="AC73" s="1" t="str">
        <f t="shared" si="2"/>
        <v>No</v>
      </c>
      <c r="AD73" s="1" t="s">
        <v>394</v>
      </c>
      <c r="AE73" s="1" t="s">
        <v>394</v>
      </c>
      <c r="AF73" s="1" t="s">
        <v>394</v>
      </c>
      <c r="AG73" s="1" t="s">
        <v>394</v>
      </c>
      <c r="AH73" s="1" t="s">
        <v>394</v>
      </c>
      <c r="AI73" s="1" t="s">
        <v>394</v>
      </c>
      <c r="AJ73" s="1" t="s">
        <v>394</v>
      </c>
      <c r="AK73" s="1" t="s">
        <v>394</v>
      </c>
      <c r="AL73" s="1" t="s">
        <v>394</v>
      </c>
      <c r="AM73" s="1" t="str">
        <f t="shared" si="3"/>
        <v>OK</v>
      </c>
      <c r="AN73" s="1" t="s">
        <v>383</v>
      </c>
      <c r="AO73" s="1" t="s">
        <v>384</v>
      </c>
      <c r="AP73" s="1" t="s">
        <v>394</v>
      </c>
      <c r="AQ73" s="1" t="s">
        <v>394</v>
      </c>
      <c r="AR73" s="1" t="s">
        <v>394</v>
      </c>
      <c r="AS73" s="1" t="s">
        <v>377</v>
      </c>
      <c r="AT73" s="1" t="s">
        <v>377</v>
      </c>
      <c r="AU73" s="1" t="s">
        <v>394</v>
      </c>
      <c r="AV73" s="1" t="s">
        <v>377</v>
      </c>
      <c r="AW73" s="1" t="s">
        <v>378</v>
      </c>
      <c r="AX73" s="1" t="s">
        <v>378</v>
      </c>
      <c r="AY73" s="1" t="s">
        <v>394</v>
      </c>
      <c r="AZ73" s="1" t="s">
        <v>394</v>
      </c>
      <c r="BA73" s="1" t="s">
        <v>394</v>
      </c>
      <c r="BB73" s="1" t="s">
        <v>377</v>
      </c>
      <c r="BC73" s="1" t="s">
        <v>394</v>
      </c>
      <c r="BD73" s="1" t="s">
        <v>394</v>
      </c>
      <c r="BE73" s="1" t="s">
        <v>377</v>
      </c>
      <c r="BF73" s="1" t="s">
        <v>377</v>
      </c>
      <c r="BH73" s="1" t="s">
        <v>785</v>
      </c>
      <c r="BI73" s="1" t="s">
        <v>394</v>
      </c>
      <c r="BJ73" s="1" t="s">
        <v>394</v>
      </c>
      <c r="BK73" s="1" t="s">
        <v>394</v>
      </c>
    </row>
    <row r="74" spans="1:63" x14ac:dyDescent="0.25">
      <c r="A74" s="1">
        <v>73</v>
      </c>
      <c r="B74" s="1" t="s">
        <v>142</v>
      </c>
      <c r="C74" s="1" t="s">
        <v>499</v>
      </c>
      <c r="D74" s="1" t="s">
        <v>44</v>
      </c>
      <c r="E74" s="1" t="s">
        <v>8</v>
      </c>
      <c r="F74" s="1" t="s">
        <v>498</v>
      </c>
      <c r="G74" s="1" t="s">
        <v>767</v>
      </c>
      <c r="H74" s="1">
        <v>2020</v>
      </c>
      <c r="I74" s="1" t="s">
        <v>242</v>
      </c>
      <c r="J74" s="1" t="s">
        <v>51</v>
      </c>
      <c r="K74" s="1">
        <v>483</v>
      </c>
      <c r="L74" s="1" t="s">
        <v>475</v>
      </c>
      <c r="M74" s="1" t="s">
        <v>497</v>
      </c>
      <c r="N74" s="1" t="s">
        <v>466</v>
      </c>
      <c r="O74" s="1" t="s">
        <v>44</v>
      </c>
      <c r="P74" s="1" t="s">
        <v>20</v>
      </c>
      <c r="Q74" s="1" t="s">
        <v>466</v>
      </c>
      <c r="R74" s="1" t="s">
        <v>47</v>
      </c>
      <c r="S74" s="1" t="s">
        <v>21</v>
      </c>
      <c r="T74" s="1" t="s">
        <v>43</v>
      </c>
      <c r="U74" s="1" t="s">
        <v>209</v>
      </c>
      <c r="V74" s="1" t="s">
        <v>44</v>
      </c>
      <c r="W74" s="1" t="s">
        <v>377</v>
      </c>
      <c r="X74" s="1" t="s">
        <v>377</v>
      </c>
      <c r="Y74" s="1" t="s">
        <v>394</v>
      </c>
      <c r="Z74" s="1" t="s">
        <v>377</v>
      </c>
      <c r="AA74" s="1" t="s">
        <v>394</v>
      </c>
      <c r="AB74" s="3" t="s">
        <v>394</v>
      </c>
      <c r="AC74" s="1" t="str">
        <f t="shared" si="2"/>
        <v>Yes</v>
      </c>
      <c r="AD74" s="1" t="s">
        <v>394</v>
      </c>
      <c r="AE74" s="1" t="s">
        <v>394</v>
      </c>
      <c r="AF74" s="1" t="s">
        <v>394</v>
      </c>
      <c r="AG74" s="1" t="s">
        <v>394</v>
      </c>
      <c r="AH74" s="1" t="s">
        <v>394</v>
      </c>
      <c r="AI74" s="1" t="s">
        <v>394</v>
      </c>
      <c r="AJ74" s="1" t="s">
        <v>394</v>
      </c>
      <c r="AK74" s="1" t="s">
        <v>394</v>
      </c>
      <c r="AL74" s="1" t="s">
        <v>394</v>
      </c>
      <c r="AM74" s="1" t="str">
        <f t="shared" si="3"/>
        <v>OK</v>
      </c>
      <c r="AN74" s="1" t="s">
        <v>383</v>
      </c>
      <c r="AO74" s="1" t="s">
        <v>384</v>
      </c>
      <c r="AP74" s="1" t="s">
        <v>394</v>
      </c>
      <c r="AQ74" s="1" t="s">
        <v>394</v>
      </c>
      <c r="AR74" s="1" t="s">
        <v>394</v>
      </c>
      <c r="AS74" s="1" t="s">
        <v>377</v>
      </c>
      <c r="AT74" s="1" t="s">
        <v>377</v>
      </c>
      <c r="AU74" s="1" t="s">
        <v>394</v>
      </c>
      <c r="AV74" s="1" t="s">
        <v>377</v>
      </c>
      <c r="AW74" s="1" t="s">
        <v>394</v>
      </c>
      <c r="AX74" s="1" t="s">
        <v>378</v>
      </c>
      <c r="AY74" s="1" t="s">
        <v>394</v>
      </c>
      <c r="AZ74" s="1" t="s">
        <v>394</v>
      </c>
      <c r="BA74" s="1" t="s">
        <v>394</v>
      </c>
      <c r="BB74" s="1" t="s">
        <v>377</v>
      </c>
      <c r="BC74" s="1" t="s">
        <v>825</v>
      </c>
      <c r="BD74" s="1" t="s">
        <v>825</v>
      </c>
      <c r="BE74" s="1" t="s">
        <v>377</v>
      </c>
      <c r="BF74" s="1" t="s">
        <v>377</v>
      </c>
      <c r="BH74" s="1" t="s">
        <v>785</v>
      </c>
      <c r="BI74" s="1" t="s">
        <v>394</v>
      </c>
      <c r="BJ74" s="1" t="s">
        <v>394</v>
      </c>
      <c r="BK74" s="1" t="s">
        <v>394</v>
      </c>
    </row>
    <row r="75" spans="1:63" x14ac:dyDescent="0.25">
      <c r="A75" s="1">
        <v>74</v>
      </c>
      <c r="B75" s="1" t="s">
        <v>143</v>
      </c>
      <c r="C75" s="1" t="s">
        <v>502</v>
      </c>
      <c r="D75" s="1" t="s">
        <v>44</v>
      </c>
      <c r="E75" s="1" t="s">
        <v>8</v>
      </c>
      <c r="F75" s="1" t="s">
        <v>501</v>
      </c>
      <c r="G75" s="1" t="s">
        <v>417</v>
      </c>
      <c r="H75" s="1">
        <v>2020</v>
      </c>
      <c r="I75" s="1" t="s">
        <v>339</v>
      </c>
      <c r="J75" s="1" t="s">
        <v>51</v>
      </c>
      <c r="K75" s="1">
        <v>52</v>
      </c>
      <c r="L75" s="1" t="s">
        <v>475</v>
      </c>
      <c r="M75" s="1" t="s">
        <v>500</v>
      </c>
      <c r="N75" s="1" t="s">
        <v>466</v>
      </c>
      <c r="O75" s="1" t="s">
        <v>44</v>
      </c>
      <c r="P75" s="1" t="s">
        <v>20</v>
      </c>
      <c r="Q75" s="1" t="s">
        <v>466</v>
      </c>
      <c r="R75" s="1" t="s">
        <v>47</v>
      </c>
      <c r="S75" s="1" t="s">
        <v>21</v>
      </c>
      <c r="T75" s="1" t="s">
        <v>43</v>
      </c>
      <c r="U75" s="1" t="s">
        <v>209</v>
      </c>
      <c r="V75" s="1" t="s">
        <v>44</v>
      </c>
      <c r="W75" s="1" t="s">
        <v>377</v>
      </c>
      <c r="X75" s="1" t="s">
        <v>394</v>
      </c>
      <c r="Y75" s="1" t="s">
        <v>394</v>
      </c>
      <c r="Z75" s="1" t="s">
        <v>394</v>
      </c>
      <c r="AA75" s="1" t="s">
        <v>394</v>
      </c>
      <c r="AB75" s="3" t="s">
        <v>394</v>
      </c>
      <c r="AC75" s="1" t="str">
        <f t="shared" si="2"/>
        <v>No</v>
      </c>
      <c r="AD75" s="1" t="s">
        <v>394</v>
      </c>
      <c r="AE75" s="1" t="s">
        <v>394</v>
      </c>
      <c r="AF75" s="1" t="s">
        <v>394</v>
      </c>
      <c r="AG75" s="1" t="s">
        <v>394</v>
      </c>
      <c r="AH75" s="1" t="s">
        <v>394</v>
      </c>
      <c r="AI75" s="1" t="s">
        <v>394</v>
      </c>
      <c r="AJ75" s="1" t="s">
        <v>394</v>
      </c>
      <c r="AK75" s="1" t="s">
        <v>394</v>
      </c>
      <c r="AL75" s="1" t="s">
        <v>394</v>
      </c>
      <c r="AM75" s="1" t="str">
        <f t="shared" si="3"/>
        <v>OK</v>
      </c>
      <c r="AN75" s="1" t="s">
        <v>383</v>
      </c>
      <c r="AO75" s="1" t="s">
        <v>775</v>
      </c>
      <c r="AP75" s="1" t="s">
        <v>394</v>
      </c>
      <c r="AQ75" s="1" t="s">
        <v>394</v>
      </c>
      <c r="AR75" s="1" t="s">
        <v>394</v>
      </c>
      <c r="AS75" s="1" t="s">
        <v>377</v>
      </c>
      <c r="AT75" s="1" t="s">
        <v>377</v>
      </c>
      <c r="AU75" s="1" t="s">
        <v>394</v>
      </c>
      <c r="AV75" s="1" t="s">
        <v>377</v>
      </c>
      <c r="AW75" s="1" t="s">
        <v>394</v>
      </c>
      <c r="AX75" s="1" t="s">
        <v>377</v>
      </c>
      <c r="AY75" s="1" t="s">
        <v>394</v>
      </c>
      <c r="AZ75" s="1" t="s">
        <v>394</v>
      </c>
      <c r="BA75" s="1" t="s">
        <v>825</v>
      </c>
      <c r="BB75" s="1" t="s">
        <v>377</v>
      </c>
      <c r="BC75" s="1" t="s">
        <v>377</v>
      </c>
      <c r="BD75" s="1" t="s">
        <v>377</v>
      </c>
      <c r="BE75" s="1" t="s">
        <v>394</v>
      </c>
      <c r="BF75" s="1" t="s">
        <v>394</v>
      </c>
      <c r="BH75" s="1" t="s">
        <v>785</v>
      </c>
      <c r="BI75" s="1" t="s">
        <v>394</v>
      </c>
      <c r="BJ75" s="1" t="s">
        <v>394</v>
      </c>
      <c r="BK75" s="1" t="s">
        <v>394</v>
      </c>
    </row>
    <row r="76" spans="1:63" x14ac:dyDescent="0.25">
      <c r="A76" s="1">
        <v>75</v>
      </c>
      <c r="B76" s="1" t="s">
        <v>144</v>
      </c>
      <c r="C76" s="1" t="s">
        <v>505</v>
      </c>
      <c r="D76" s="1" t="s">
        <v>44</v>
      </c>
      <c r="E76" s="1" t="s">
        <v>8</v>
      </c>
      <c r="F76" s="1" t="s">
        <v>504</v>
      </c>
      <c r="G76" s="1" t="s">
        <v>417</v>
      </c>
      <c r="H76" s="1">
        <v>2017</v>
      </c>
      <c r="I76" s="1" t="s">
        <v>34</v>
      </c>
      <c r="J76" s="1" t="s">
        <v>51</v>
      </c>
      <c r="K76" s="1">
        <v>118</v>
      </c>
      <c r="L76" s="1" t="s">
        <v>475</v>
      </c>
      <c r="M76" s="1" t="s">
        <v>503</v>
      </c>
      <c r="N76" s="1" t="s">
        <v>466</v>
      </c>
      <c r="O76" s="1" t="s">
        <v>44</v>
      </c>
      <c r="P76" s="1" t="s">
        <v>20</v>
      </c>
      <c r="Q76" s="1" t="s">
        <v>466</v>
      </c>
      <c r="R76" s="1" t="s">
        <v>47</v>
      </c>
      <c r="S76" s="1" t="s">
        <v>21</v>
      </c>
      <c r="T76" s="1" t="s">
        <v>43</v>
      </c>
      <c r="U76" s="1" t="s">
        <v>209</v>
      </c>
      <c r="V76" s="1" t="s">
        <v>44</v>
      </c>
      <c r="W76" s="1" t="s">
        <v>377</v>
      </c>
      <c r="X76" s="1" t="s">
        <v>394</v>
      </c>
      <c r="Y76" s="1" t="s">
        <v>394</v>
      </c>
      <c r="Z76" s="1" t="s">
        <v>394</v>
      </c>
      <c r="AA76" s="1" t="s">
        <v>394</v>
      </c>
      <c r="AB76" s="3" t="s">
        <v>394</v>
      </c>
      <c r="AC76" s="1" t="str">
        <f t="shared" si="2"/>
        <v>No</v>
      </c>
      <c r="AD76" s="1" t="s">
        <v>394</v>
      </c>
      <c r="AE76" s="1" t="s">
        <v>394</v>
      </c>
      <c r="AF76" s="1" t="s">
        <v>394</v>
      </c>
      <c r="AG76" s="1" t="s">
        <v>394</v>
      </c>
      <c r="AH76" s="1" t="s">
        <v>394</v>
      </c>
      <c r="AI76" s="1" t="s">
        <v>394</v>
      </c>
      <c r="AJ76" s="1" t="s">
        <v>394</v>
      </c>
      <c r="AK76" s="1" t="s">
        <v>394</v>
      </c>
      <c r="AL76" s="1" t="s">
        <v>394</v>
      </c>
      <c r="AM76" s="1" t="str">
        <f t="shared" si="3"/>
        <v>OK</v>
      </c>
      <c r="AN76" s="1" t="s">
        <v>383</v>
      </c>
      <c r="AO76" s="1" t="s">
        <v>775</v>
      </c>
      <c r="AP76" s="1" t="s">
        <v>394</v>
      </c>
      <c r="AQ76" s="1" t="s">
        <v>394</v>
      </c>
      <c r="AR76" s="1" t="s">
        <v>394</v>
      </c>
      <c r="AS76" s="1" t="s">
        <v>377</v>
      </c>
      <c r="AT76" s="1" t="s">
        <v>377</v>
      </c>
      <c r="AU76" s="1" t="s">
        <v>394</v>
      </c>
      <c r="AV76" s="1" t="s">
        <v>377</v>
      </c>
      <c r="AW76" s="1" t="s">
        <v>394</v>
      </c>
      <c r="AX76" s="1" t="s">
        <v>377</v>
      </c>
      <c r="AY76" s="1" t="s">
        <v>394</v>
      </c>
      <c r="AZ76" s="1" t="s">
        <v>394</v>
      </c>
      <c r="BA76" s="1" t="s">
        <v>825</v>
      </c>
      <c r="BB76" s="1" t="s">
        <v>377</v>
      </c>
      <c r="BC76" s="1" t="s">
        <v>825</v>
      </c>
      <c r="BD76" s="1" t="s">
        <v>825</v>
      </c>
      <c r="BE76" s="1" t="s">
        <v>394</v>
      </c>
      <c r="BF76" s="1" t="s">
        <v>394</v>
      </c>
      <c r="BH76" s="1" t="s">
        <v>785</v>
      </c>
      <c r="BI76" s="1" t="s">
        <v>394</v>
      </c>
      <c r="BJ76" s="1" t="s">
        <v>394</v>
      </c>
      <c r="BK76" s="1" t="s">
        <v>394</v>
      </c>
    </row>
    <row r="77" spans="1:63" x14ac:dyDescent="0.25">
      <c r="A77" s="1">
        <v>76</v>
      </c>
      <c r="B77" s="1" t="s">
        <v>145</v>
      </c>
      <c r="C77" s="1" t="s">
        <v>507</v>
      </c>
      <c r="D77" s="1" t="s">
        <v>44</v>
      </c>
      <c r="E77" s="1" t="s">
        <v>8</v>
      </c>
      <c r="F77" s="1" t="s">
        <v>506</v>
      </c>
      <c r="G77" s="1" t="s">
        <v>508</v>
      </c>
      <c r="H77" s="1">
        <v>2019</v>
      </c>
      <c r="I77" s="1" t="s">
        <v>34</v>
      </c>
      <c r="J77" s="1" t="s">
        <v>51</v>
      </c>
      <c r="K77" s="1">
        <v>529</v>
      </c>
      <c r="L77" s="1" t="s">
        <v>475</v>
      </c>
      <c r="M77" s="1" t="s">
        <v>47</v>
      </c>
      <c r="N77" s="1" t="s">
        <v>466</v>
      </c>
      <c r="O77" s="1" t="s">
        <v>44</v>
      </c>
      <c r="P77" s="1" t="s">
        <v>20</v>
      </c>
      <c r="Q77" s="1" t="s">
        <v>466</v>
      </c>
      <c r="R77" s="1" t="s">
        <v>47</v>
      </c>
      <c r="S77" s="1" t="s">
        <v>21</v>
      </c>
      <c r="T77" s="1" t="s">
        <v>43</v>
      </c>
      <c r="U77" s="1" t="s">
        <v>209</v>
      </c>
      <c r="V77" s="1" t="s">
        <v>44</v>
      </c>
      <c r="W77" s="1" t="s">
        <v>377</v>
      </c>
      <c r="X77" s="1" t="s">
        <v>394</v>
      </c>
      <c r="Y77" s="1" t="s">
        <v>394</v>
      </c>
      <c r="Z77" s="1" t="s">
        <v>377</v>
      </c>
      <c r="AA77" s="1" t="s">
        <v>394</v>
      </c>
      <c r="AB77" s="3" t="s">
        <v>394</v>
      </c>
      <c r="AC77" s="1" t="str">
        <f t="shared" si="2"/>
        <v>Yes</v>
      </c>
      <c r="AD77" s="1" t="s">
        <v>394</v>
      </c>
      <c r="AE77" s="1" t="s">
        <v>394</v>
      </c>
      <c r="AF77" s="1" t="s">
        <v>394</v>
      </c>
      <c r="AG77" s="1" t="s">
        <v>394</v>
      </c>
      <c r="AH77" s="1" t="s">
        <v>394</v>
      </c>
      <c r="AI77" s="1" t="s">
        <v>394</v>
      </c>
      <c r="AJ77" s="1" t="s">
        <v>394</v>
      </c>
      <c r="AK77" s="1" t="s">
        <v>394</v>
      </c>
      <c r="AL77" s="1" t="s">
        <v>394</v>
      </c>
      <c r="AM77" s="1" t="str">
        <f t="shared" si="3"/>
        <v>OK</v>
      </c>
      <c r="AN77" s="1" t="s">
        <v>383</v>
      </c>
      <c r="AO77" s="1" t="s">
        <v>384</v>
      </c>
      <c r="AP77" s="1" t="s">
        <v>394</v>
      </c>
      <c r="AQ77" s="1" t="s">
        <v>394</v>
      </c>
      <c r="AR77" s="1" t="s">
        <v>394</v>
      </c>
      <c r="AS77" s="1" t="s">
        <v>377</v>
      </c>
      <c r="AT77" s="1" t="s">
        <v>377</v>
      </c>
      <c r="AU77" s="1" t="s">
        <v>394</v>
      </c>
      <c r="AV77" s="1" t="s">
        <v>377</v>
      </c>
      <c r="AW77" s="1" t="s">
        <v>394</v>
      </c>
      <c r="AX77" s="1" t="s">
        <v>378</v>
      </c>
      <c r="AY77" s="1" t="s">
        <v>394</v>
      </c>
      <c r="AZ77" s="1" t="s">
        <v>394</v>
      </c>
      <c r="BA77" s="1" t="s">
        <v>825</v>
      </c>
      <c r="BB77" s="1" t="s">
        <v>377</v>
      </c>
      <c r="BC77" s="1" t="s">
        <v>377</v>
      </c>
      <c r="BD77" s="1" t="s">
        <v>377</v>
      </c>
      <c r="BE77" s="1" t="s">
        <v>394</v>
      </c>
      <c r="BF77" s="1" t="s">
        <v>394</v>
      </c>
      <c r="BH77" s="1" t="s">
        <v>785</v>
      </c>
      <c r="BI77" s="1" t="s">
        <v>394</v>
      </c>
      <c r="BJ77" s="1" t="s">
        <v>394</v>
      </c>
      <c r="BK77" s="1" t="s">
        <v>394</v>
      </c>
    </row>
    <row r="78" spans="1:63" x14ac:dyDescent="0.25">
      <c r="A78" s="1">
        <v>77</v>
      </c>
      <c r="B78" s="1" t="s">
        <v>146</v>
      </c>
      <c r="C78" s="1" t="s">
        <v>515</v>
      </c>
      <c r="D78" s="1" t="s">
        <v>516</v>
      </c>
      <c r="E78" s="1" t="s">
        <v>8</v>
      </c>
      <c r="F78" s="1" t="s">
        <v>514</v>
      </c>
      <c r="G78" s="1" t="s">
        <v>762</v>
      </c>
      <c r="H78" s="1">
        <v>2013</v>
      </c>
      <c r="I78" s="1" t="s">
        <v>219</v>
      </c>
      <c r="J78" s="1" t="s">
        <v>51</v>
      </c>
      <c r="K78" s="1">
        <v>154</v>
      </c>
      <c r="L78" s="1" t="s">
        <v>513</v>
      </c>
      <c r="M78" s="1" t="s">
        <v>509</v>
      </c>
      <c r="N78" s="1" t="s">
        <v>816</v>
      </c>
      <c r="O78" s="1" t="s">
        <v>510</v>
      </c>
      <c r="P78" s="1" t="s">
        <v>20</v>
      </c>
      <c r="Q78" s="1" t="s">
        <v>22</v>
      </c>
      <c r="R78" s="1" t="s">
        <v>512</v>
      </c>
      <c r="S78" s="1" t="s">
        <v>57</v>
      </c>
      <c r="T78" s="1" t="s">
        <v>43</v>
      </c>
      <c r="U78" s="1" t="s">
        <v>511</v>
      </c>
      <c r="V78" s="1" t="s">
        <v>44</v>
      </c>
      <c r="W78" s="1" t="s">
        <v>394</v>
      </c>
      <c r="X78" s="1" t="s">
        <v>377</v>
      </c>
      <c r="Y78" s="1" t="s">
        <v>394</v>
      </c>
      <c r="Z78" s="1" t="s">
        <v>394</v>
      </c>
      <c r="AA78" s="1" t="s">
        <v>394</v>
      </c>
      <c r="AB78" s="3" t="s">
        <v>394</v>
      </c>
      <c r="AC78" s="1" t="str">
        <f t="shared" si="2"/>
        <v>No</v>
      </c>
      <c r="AD78" s="1" t="s">
        <v>394</v>
      </c>
      <c r="AE78" s="1" t="s">
        <v>394</v>
      </c>
      <c r="AF78" s="1" t="s">
        <v>394</v>
      </c>
      <c r="AG78" s="1" t="s">
        <v>394</v>
      </c>
      <c r="AH78" s="1" t="s">
        <v>394</v>
      </c>
      <c r="AI78" s="1" t="s">
        <v>394</v>
      </c>
      <c r="AJ78" s="1" t="s">
        <v>394</v>
      </c>
      <c r="AK78" s="1" t="s">
        <v>394</v>
      </c>
      <c r="AL78" s="1" t="s">
        <v>394</v>
      </c>
      <c r="AM78" s="1" t="str">
        <f t="shared" si="3"/>
        <v>OK</v>
      </c>
      <c r="AN78" s="1" t="s">
        <v>383</v>
      </c>
      <c r="AO78" s="1" t="s">
        <v>47</v>
      </c>
      <c r="AP78" s="1" t="s">
        <v>394</v>
      </c>
      <c r="AQ78" s="1" t="s">
        <v>394</v>
      </c>
      <c r="AR78" s="1" t="s">
        <v>394</v>
      </c>
      <c r="AS78" s="1" t="s">
        <v>377</v>
      </c>
      <c r="AT78" s="1" t="s">
        <v>377</v>
      </c>
      <c r="AU78" s="1" t="s">
        <v>394</v>
      </c>
      <c r="AV78" s="1" t="s">
        <v>377</v>
      </c>
      <c r="AW78" s="1" t="s">
        <v>394</v>
      </c>
      <c r="AX78" s="1" t="s">
        <v>394</v>
      </c>
      <c r="AY78" s="1" t="s">
        <v>394</v>
      </c>
      <c r="AZ78" s="1" t="s">
        <v>394</v>
      </c>
      <c r="BA78" s="1" t="s">
        <v>394</v>
      </c>
      <c r="BB78" s="1" t="s">
        <v>394</v>
      </c>
      <c r="BC78" s="1" t="s">
        <v>394</v>
      </c>
      <c r="BD78" s="1" t="s">
        <v>394</v>
      </c>
      <c r="BE78" s="1" t="s">
        <v>378</v>
      </c>
      <c r="BF78" s="1" t="s">
        <v>377</v>
      </c>
      <c r="BH78" s="1" t="s">
        <v>785</v>
      </c>
      <c r="BI78" s="1" t="s">
        <v>394</v>
      </c>
      <c r="BJ78" s="1" t="s">
        <v>394</v>
      </c>
      <c r="BK78" s="1" t="s">
        <v>394</v>
      </c>
    </row>
    <row r="79" spans="1:63" x14ac:dyDescent="0.25">
      <c r="A79" s="1">
        <v>78</v>
      </c>
      <c r="B79" s="1" t="s">
        <v>37</v>
      </c>
      <c r="C79" s="1" t="s">
        <v>517</v>
      </c>
      <c r="D79" s="1" t="s">
        <v>44</v>
      </c>
      <c r="E79" s="1" t="s">
        <v>8</v>
      </c>
      <c r="F79" s="1" t="s">
        <v>69</v>
      </c>
      <c r="G79" s="1" t="s">
        <v>68</v>
      </c>
      <c r="H79" s="1">
        <v>2023</v>
      </c>
      <c r="I79" s="1" t="s">
        <v>38</v>
      </c>
      <c r="J79" s="1" t="s">
        <v>51</v>
      </c>
      <c r="K79" s="1">
        <v>1845</v>
      </c>
      <c r="L79" s="1" t="s">
        <v>756</v>
      </c>
      <c r="M79" s="1" t="s">
        <v>47</v>
      </c>
      <c r="N79" s="1" t="s">
        <v>241</v>
      </c>
      <c r="O79" s="1" t="s">
        <v>44</v>
      </c>
      <c r="P79" s="1" t="s">
        <v>230</v>
      </c>
      <c r="Q79" s="1" t="s">
        <v>518</v>
      </c>
      <c r="R79" s="1" t="s">
        <v>602</v>
      </c>
      <c r="S79" s="1" t="s">
        <v>21</v>
      </c>
      <c r="T79" s="1" t="s">
        <v>43</v>
      </c>
      <c r="U79" s="1" t="s">
        <v>209</v>
      </c>
      <c r="V79" s="1" t="s">
        <v>547</v>
      </c>
      <c r="W79" s="1" t="s">
        <v>377</v>
      </c>
      <c r="X79" s="1" t="s">
        <v>394</v>
      </c>
      <c r="Y79" s="1" t="s">
        <v>394</v>
      </c>
      <c r="Z79" s="1" t="s">
        <v>377</v>
      </c>
      <c r="AA79" s="1" t="s">
        <v>394</v>
      </c>
      <c r="AB79" s="3" t="s">
        <v>394</v>
      </c>
      <c r="AC79" s="1" t="str">
        <f t="shared" si="2"/>
        <v>Yes</v>
      </c>
      <c r="AD79" s="1" t="s">
        <v>394</v>
      </c>
      <c r="AE79" s="1" t="s">
        <v>394</v>
      </c>
      <c r="AF79" s="1" t="s">
        <v>394</v>
      </c>
      <c r="AG79" s="1" t="s">
        <v>394</v>
      </c>
      <c r="AH79" s="1" t="s">
        <v>394</v>
      </c>
      <c r="AI79" s="1" t="s">
        <v>394</v>
      </c>
      <c r="AJ79" s="1" t="s">
        <v>394</v>
      </c>
      <c r="AK79" s="1" t="s">
        <v>394</v>
      </c>
      <c r="AL79" s="1" t="s">
        <v>394</v>
      </c>
      <c r="AM79" s="1" t="str">
        <f t="shared" si="3"/>
        <v>OK</v>
      </c>
      <c r="AN79" s="1" t="s">
        <v>383</v>
      </c>
      <c r="AO79" s="1" t="s">
        <v>776</v>
      </c>
      <c r="AP79" s="1" t="s">
        <v>394</v>
      </c>
      <c r="AQ79" s="1" t="s">
        <v>377</v>
      </c>
      <c r="AR79" s="1" t="s">
        <v>394</v>
      </c>
      <c r="AS79" s="1" t="s">
        <v>377</v>
      </c>
      <c r="AT79" s="1" t="s">
        <v>377</v>
      </c>
      <c r="AU79" s="1" t="s">
        <v>377</v>
      </c>
      <c r="AV79" s="1" t="s">
        <v>377</v>
      </c>
      <c r="AW79" s="1" t="s">
        <v>394</v>
      </c>
      <c r="AX79" s="1" t="s">
        <v>377</v>
      </c>
      <c r="AY79" s="1" t="s">
        <v>377</v>
      </c>
      <c r="AZ79" s="1" t="s">
        <v>394</v>
      </c>
      <c r="BA79" s="1" t="s">
        <v>377</v>
      </c>
      <c r="BB79" s="1" t="s">
        <v>377</v>
      </c>
      <c r="BC79" s="1" t="s">
        <v>377</v>
      </c>
      <c r="BD79" s="1" t="s">
        <v>377</v>
      </c>
      <c r="BE79" s="1" t="s">
        <v>394</v>
      </c>
      <c r="BF79" s="1" t="s">
        <v>377</v>
      </c>
      <c r="BH79" s="1" t="s">
        <v>785</v>
      </c>
      <c r="BI79" s="1" t="s">
        <v>377</v>
      </c>
      <c r="BJ79" s="1" t="s">
        <v>394</v>
      </c>
      <c r="BK79" s="1" t="s">
        <v>394</v>
      </c>
    </row>
    <row r="80" spans="1:63" x14ac:dyDescent="0.25">
      <c r="A80" s="1">
        <v>79</v>
      </c>
      <c r="B80" s="1" t="s">
        <v>147</v>
      </c>
      <c r="C80" s="1" t="s">
        <v>527</v>
      </c>
      <c r="D80" s="1" t="s">
        <v>44</v>
      </c>
      <c r="E80" s="1" t="s">
        <v>43</v>
      </c>
      <c r="F80" s="1" t="s">
        <v>520</v>
      </c>
      <c r="G80" s="1" t="s">
        <v>207</v>
      </c>
      <c r="H80" s="1">
        <v>2017</v>
      </c>
      <c r="I80" s="1" t="s">
        <v>30</v>
      </c>
      <c r="J80" s="1" t="s">
        <v>51</v>
      </c>
      <c r="K80" s="1">
        <v>496</v>
      </c>
      <c r="L80" s="1" t="s">
        <v>522</v>
      </c>
      <c r="M80" s="1" t="s">
        <v>519</v>
      </c>
      <c r="N80" s="1" t="s">
        <v>815</v>
      </c>
      <c r="O80" s="1" t="s">
        <v>521</v>
      </c>
      <c r="P80" s="1" t="s">
        <v>20</v>
      </c>
      <c r="Q80" s="1" t="s">
        <v>22</v>
      </c>
      <c r="R80" s="1" t="s">
        <v>523</v>
      </c>
      <c r="S80" s="1" t="s">
        <v>21</v>
      </c>
      <c r="T80" s="1" t="s">
        <v>43</v>
      </c>
      <c r="U80" s="1" t="s">
        <v>41</v>
      </c>
      <c r="V80" s="1" t="s">
        <v>44</v>
      </c>
      <c r="W80" s="1" t="s">
        <v>377</v>
      </c>
      <c r="X80" s="1" t="s">
        <v>377</v>
      </c>
      <c r="Y80" s="1" t="s">
        <v>394</v>
      </c>
      <c r="Z80" s="1" t="s">
        <v>394</v>
      </c>
      <c r="AA80" s="1" t="s">
        <v>394</v>
      </c>
      <c r="AB80" s="3" t="s">
        <v>394</v>
      </c>
      <c r="AC80" s="1" t="str">
        <f t="shared" si="2"/>
        <v>No</v>
      </c>
      <c r="AD80" s="1" t="s">
        <v>394</v>
      </c>
      <c r="AE80" s="1" t="s">
        <v>394</v>
      </c>
      <c r="AF80" s="1" t="s">
        <v>394</v>
      </c>
      <c r="AG80" s="1" t="s">
        <v>394</v>
      </c>
      <c r="AH80" s="1" t="s">
        <v>394</v>
      </c>
      <c r="AI80" s="1" t="s">
        <v>394</v>
      </c>
      <c r="AJ80" s="1" t="s">
        <v>394</v>
      </c>
      <c r="AK80" s="1" t="s">
        <v>394</v>
      </c>
      <c r="AL80" s="1" t="s">
        <v>394</v>
      </c>
      <c r="AM80" s="1" t="str">
        <f t="shared" si="3"/>
        <v>OK</v>
      </c>
      <c r="AN80" s="1" t="s">
        <v>383</v>
      </c>
      <c r="AO80" s="1" t="s">
        <v>384</v>
      </c>
      <c r="AP80" s="1" t="s">
        <v>394</v>
      </c>
      <c r="AQ80" s="1" t="s">
        <v>394</v>
      </c>
      <c r="AR80" s="1" t="s">
        <v>394</v>
      </c>
      <c r="AS80" s="1" t="s">
        <v>377</v>
      </c>
      <c r="AT80" s="1" t="s">
        <v>377</v>
      </c>
      <c r="AU80" s="1" t="s">
        <v>377</v>
      </c>
      <c r="AV80" s="1" t="s">
        <v>377</v>
      </c>
      <c r="AW80" s="1" t="s">
        <v>377</v>
      </c>
      <c r="AX80" s="1" t="s">
        <v>378</v>
      </c>
      <c r="AY80" s="1" t="s">
        <v>394</v>
      </c>
      <c r="AZ80" s="1" t="s">
        <v>394</v>
      </c>
      <c r="BA80" s="1" t="s">
        <v>394</v>
      </c>
      <c r="BB80" s="1" t="s">
        <v>377</v>
      </c>
      <c r="BC80" s="1" t="s">
        <v>377</v>
      </c>
      <c r="BD80" s="1" t="s">
        <v>377</v>
      </c>
      <c r="BE80" s="1" t="s">
        <v>377</v>
      </c>
      <c r="BF80" s="1" t="s">
        <v>377</v>
      </c>
      <c r="BH80" s="1" t="s">
        <v>785</v>
      </c>
      <c r="BI80" s="1" t="s">
        <v>394</v>
      </c>
      <c r="BJ80" s="1" t="s">
        <v>394</v>
      </c>
      <c r="BK80" s="1" t="s">
        <v>394</v>
      </c>
    </row>
    <row r="81" spans="1:63" x14ac:dyDescent="0.25">
      <c r="A81" s="1">
        <v>80</v>
      </c>
      <c r="B81" s="1" t="s">
        <v>148</v>
      </c>
      <c r="C81" s="1" t="s">
        <v>528</v>
      </c>
      <c r="D81" s="1" t="s">
        <v>44</v>
      </c>
      <c r="E81" s="1" t="s">
        <v>8</v>
      </c>
      <c r="F81" s="1" t="s">
        <v>526</v>
      </c>
      <c r="G81" s="1" t="s">
        <v>56</v>
      </c>
      <c r="H81" s="1">
        <v>2017</v>
      </c>
      <c r="I81" s="1" t="s">
        <v>242</v>
      </c>
      <c r="J81" s="1" t="s">
        <v>51</v>
      </c>
      <c r="K81" s="1">
        <v>154</v>
      </c>
      <c r="L81" s="1" t="s">
        <v>58</v>
      </c>
      <c r="M81" s="1" t="s">
        <v>47</v>
      </c>
      <c r="N81" s="1" t="s">
        <v>59</v>
      </c>
      <c r="O81" s="1" t="s">
        <v>44</v>
      </c>
      <c r="P81" s="1" t="s">
        <v>230</v>
      </c>
      <c r="Q81" s="1" t="s">
        <v>518</v>
      </c>
      <c r="R81" s="1" t="s">
        <v>525</v>
      </c>
      <c r="S81" s="1" t="s">
        <v>57</v>
      </c>
      <c r="T81" s="1" t="s">
        <v>43</v>
      </c>
      <c r="U81" s="1" t="s">
        <v>209</v>
      </c>
      <c r="V81" s="1" t="s">
        <v>524</v>
      </c>
      <c r="W81" s="1" t="s">
        <v>377</v>
      </c>
      <c r="X81" s="1" t="s">
        <v>394</v>
      </c>
      <c r="Y81" s="1" t="s">
        <v>394</v>
      </c>
      <c r="Z81" s="1" t="s">
        <v>394</v>
      </c>
      <c r="AA81" s="1" t="s">
        <v>394</v>
      </c>
      <c r="AB81" s="3" t="s">
        <v>377</v>
      </c>
      <c r="AC81" s="1" t="str">
        <f t="shared" si="2"/>
        <v>Yes</v>
      </c>
      <c r="AD81" s="1" t="s">
        <v>394</v>
      </c>
      <c r="AE81" s="1" t="s">
        <v>394</v>
      </c>
      <c r="AF81" s="1" t="s">
        <v>394</v>
      </c>
      <c r="AG81" s="1" t="s">
        <v>394</v>
      </c>
      <c r="AH81" s="1" t="s">
        <v>394</v>
      </c>
      <c r="AI81" s="1" t="s">
        <v>394</v>
      </c>
      <c r="AJ81" s="1" t="s">
        <v>394</v>
      </c>
      <c r="AK81" s="1" t="s">
        <v>394</v>
      </c>
      <c r="AL81" s="1" t="s">
        <v>394</v>
      </c>
      <c r="AM81" s="1" t="str">
        <f t="shared" si="3"/>
        <v>OK</v>
      </c>
      <c r="AN81" s="1" t="s">
        <v>383</v>
      </c>
      <c r="AO81" s="1" t="s">
        <v>388</v>
      </c>
      <c r="AP81" s="1" t="s">
        <v>394</v>
      </c>
      <c r="AQ81" s="1" t="s">
        <v>394</v>
      </c>
      <c r="AR81" s="1" t="s">
        <v>394</v>
      </c>
      <c r="AS81" s="1" t="s">
        <v>377</v>
      </c>
      <c r="AT81" s="1" t="s">
        <v>377</v>
      </c>
      <c r="AU81" s="1" t="s">
        <v>377</v>
      </c>
      <c r="AV81" s="1" t="s">
        <v>377</v>
      </c>
      <c r="AW81" s="1" t="s">
        <v>394</v>
      </c>
      <c r="AX81" s="1" t="s">
        <v>377</v>
      </c>
      <c r="AY81" s="1" t="s">
        <v>394</v>
      </c>
      <c r="AZ81" s="1" t="s">
        <v>377</v>
      </c>
      <c r="BA81" s="1" t="s">
        <v>394</v>
      </c>
      <c r="BB81" s="1" t="s">
        <v>377</v>
      </c>
      <c r="BC81" s="1" t="s">
        <v>377</v>
      </c>
      <c r="BD81" s="1" t="s">
        <v>377</v>
      </c>
      <c r="BE81" s="1" t="s">
        <v>394</v>
      </c>
      <c r="BF81" s="1" t="s">
        <v>377</v>
      </c>
      <c r="BH81" s="1" t="s">
        <v>785</v>
      </c>
      <c r="BI81" s="1" t="s">
        <v>394</v>
      </c>
      <c r="BJ81" s="1" t="s">
        <v>394</v>
      </c>
      <c r="BK81" s="1" t="s">
        <v>394</v>
      </c>
    </row>
    <row r="82" spans="1:63" x14ac:dyDescent="0.25">
      <c r="A82" s="1">
        <v>81</v>
      </c>
      <c r="B82" s="1" t="s">
        <v>149</v>
      </c>
      <c r="C82" s="1" t="s">
        <v>531</v>
      </c>
      <c r="D82" s="1" t="s">
        <v>44</v>
      </c>
      <c r="E82" s="1" t="s">
        <v>8</v>
      </c>
      <c r="F82" s="1" t="s">
        <v>530</v>
      </c>
      <c r="G82" s="1" t="s">
        <v>400</v>
      </c>
      <c r="H82" s="1">
        <v>2019</v>
      </c>
      <c r="I82" s="1" t="s">
        <v>34</v>
      </c>
      <c r="J82" s="1" t="s">
        <v>51</v>
      </c>
      <c r="K82" s="1">
        <v>163</v>
      </c>
      <c r="L82" s="1" t="s">
        <v>475</v>
      </c>
      <c r="M82" s="1" t="s">
        <v>532</v>
      </c>
      <c r="N82" s="1" t="s">
        <v>466</v>
      </c>
      <c r="O82" s="1" t="s">
        <v>44</v>
      </c>
      <c r="P82" s="1" t="s">
        <v>20</v>
      </c>
      <c r="Q82" s="1" t="s">
        <v>466</v>
      </c>
      <c r="R82" s="1" t="s">
        <v>47</v>
      </c>
      <c r="S82" s="1" t="s">
        <v>21</v>
      </c>
      <c r="T82" s="1" t="s">
        <v>43</v>
      </c>
      <c r="U82" s="1" t="s">
        <v>533</v>
      </c>
      <c r="V82" s="1" t="s">
        <v>44</v>
      </c>
      <c r="W82" s="1" t="s">
        <v>377</v>
      </c>
      <c r="X82" s="1" t="s">
        <v>394</v>
      </c>
      <c r="Y82" s="1" t="s">
        <v>394</v>
      </c>
      <c r="Z82" s="1" t="s">
        <v>377</v>
      </c>
      <c r="AA82" s="1" t="s">
        <v>394</v>
      </c>
      <c r="AB82" s="3" t="s">
        <v>394</v>
      </c>
      <c r="AC82" s="1" t="str">
        <f t="shared" si="2"/>
        <v>Yes</v>
      </c>
      <c r="AD82" s="1" t="s">
        <v>394</v>
      </c>
      <c r="AE82" s="1" t="s">
        <v>394</v>
      </c>
      <c r="AF82" s="1" t="s">
        <v>394</v>
      </c>
      <c r="AG82" s="1" t="s">
        <v>394</v>
      </c>
      <c r="AH82" s="1" t="s">
        <v>394</v>
      </c>
      <c r="AI82" s="1" t="s">
        <v>394</v>
      </c>
      <c r="AJ82" s="1" t="s">
        <v>394</v>
      </c>
      <c r="AK82" s="1" t="s">
        <v>394</v>
      </c>
      <c r="AL82" s="1" t="s">
        <v>394</v>
      </c>
      <c r="AM82" s="1" t="str">
        <f t="shared" si="3"/>
        <v>OK</v>
      </c>
      <c r="AN82" s="1" t="s">
        <v>383</v>
      </c>
      <c r="AO82" s="1" t="s">
        <v>384</v>
      </c>
      <c r="AP82" s="1" t="s">
        <v>394</v>
      </c>
      <c r="AQ82" s="1" t="s">
        <v>394</v>
      </c>
      <c r="AR82" s="1" t="s">
        <v>394</v>
      </c>
      <c r="AS82" s="1" t="s">
        <v>377</v>
      </c>
      <c r="AT82" s="1" t="s">
        <v>377</v>
      </c>
      <c r="AU82" s="1" t="s">
        <v>394</v>
      </c>
      <c r="AV82" s="1" t="s">
        <v>377</v>
      </c>
      <c r="AW82" s="1" t="s">
        <v>394</v>
      </c>
      <c r="AX82" s="1" t="s">
        <v>377</v>
      </c>
      <c r="AY82" s="1" t="s">
        <v>394</v>
      </c>
      <c r="AZ82" s="1" t="s">
        <v>394</v>
      </c>
      <c r="BA82" s="1" t="s">
        <v>825</v>
      </c>
      <c r="BB82" s="1" t="s">
        <v>377</v>
      </c>
      <c r="BC82" s="1" t="s">
        <v>377</v>
      </c>
      <c r="BD82" s="1" t="s">
        <v>377</v>
      </c>
      <c r="BE82" s="1" t="s">
        <v>394</v>
      </c>
      <c r="BF82" s="1" t="s">
        <v>394</v>
      </c>
      <c r="BH82" s="1" t="s">
        <v>785</v>
      </c>
      <c r="BI82" s="1" t="s">
        <v>394</v>
      </c>
      <c r="BJ82" s="1" t="s">
        <v>394</v>
      </c>
      <c r="BK82" s="1" t="s">
        <v>394</v>
      </c>
    </row>
    <row r="83" spans="1:63" x14ac:dyDescent="0.25">
      <c r="A83" s="1">
        <v>82</v>
      </c>
      <c r="B83" s="1" t="s">
        <v>150</v>
      </c>
      <c r="C83" s="1" t="s">
        <v>536</v>
      </c>
      <c r="D83" s="1" t="s">
        <v>44</v>
      </c>
      <c r="E83" s="1" t="s">
        <v>8</v>
      </c>
      <c r="F83" s="1" t="s">
        <v>535</v>
      </c>
      <c r="G83" s="1" t="s">
        <v>400</v>
      </c>
      <c r="H83" s="1">
        <v>2022</v>
      </c>
      <c r="I83" s="1" t="s">
        <v>34</v>
      </c>
      <c r="J83" s="1" t="s">
        <v>51</v>
      </c>
      <c r="K83" s="1">
        <v>108687</v>
      </c>
      <c r="L83" s="1" t="s">
        <v>475</v>
      </c>
      <c r="M83" s="1" t="s">
        <v>534</v>
      </c>
      <c r="N83" s="1" t="s">
        <v>466</v>
      </c>
      <c r="O83" s="1" t="s">
        <v>44</v>
      </c>
      <c r="P83" s="1" t="s">
        <v>20</v>
      </c>
      <c r="Q83" s="1" t="s">
        <v>466</v>
      </c>
      <c r="R83" s="1" t="s">
        <v>537</v>
      </c>
      <c r="S83" s="1" t="s">
        <v>21</v>
      </c>
      <c r="T83" s="1" t="s">
        <v>43</v>
      </c>
      <c r="U83" s="1" t="s">
        <v>209</v>
      </c>
      <c r="V83" s="1" t="s">
        <v>538</v>
      </c>
      <c r="W83" s="1" t="s">
        <v>377</v>
      </c>
      <c r="X83" s="1" t="s">
        <v>377</v>
      </c>
      <c r="Y83" s="1" t="s">
        <v>394</v>
      </c>
      <c r="Z83" s="1" t="s">
        <v>394</v>
      </c>
      <c r="AA83" s="1" t="s">
        <v>394</v>
      </c>
      <c r="AB83" s="3" t="s">
        <v>394</v>
      </c>
      <c r="AC83" s="1" t="str">
        <f t="shared" si="2"/>
        <v>No</v>
      </c>
      <c r="AD83" s="1" t="s">
        <v>394</v>
      </c>
      <c r="AE83" s="1" t="s">
        <v>394</v>
      </c>
      <c r="AF83" s="1" t="s">
        <v>394</v>
      </c>
      <c r="AG83" s="1" t="s">
        <v>394</v>
      </c>
      <c r="AH83" s="1" t="s">
        <v>394</v>
      </c>
      <c r="AI83" s="1" t="s">
        <v>394</v>
      </c>
      <c r="AJ83" s="1" t="s">
        <v>394</v>
      </c>
      <c r="AK83" s="1" t="s">
        <v>394</v>
      </c>
      <c r="AL83" s="1" t="s">
        <v>394</v>
      </c>
      <c r="AM83" s="1" t="str">
        <f t="shared" si="3"/>
        <v>OK</v>
      </c>
      <c r="AN83" s="1" t="s">
        <v>383</v>
      </c>
      <c r="AO83" s="1" t="s">
        <v>777</v>
      </c>
      <c r="AP83" s="1" t="s">
        <v>394</v>
      </c>
      <c r="AQ83" s="1" t="s">
        <v>394</v>
      </c>
      <c r="AR83" s="1" t="s">
        <v>394</v>
      </c>
      <c r="AS83" s="1" t="s">
        <v>377</v>
      </c>
      <c r="AT83" s="1" t="s">
        <v>377</v>
      </c>
      <c r="AU83" s="1" t="s">
        <v>378</v>
      </c>
      <c r="AV83" s="1" t="s">
        <v>377</v>
      </c>
      <c r="AW83" s="1" t="s">
        <v>377</v>
      </c>
      <c r="AX83" s="1" t="s">
        <v>378</v>
      </c>
      <c r="AY83" s="1" t="s">
        <v>394</v>
      </c>
      <c r="AZ83" s="1" t="s">
        <v>377</v>
      </c>
      <c r="BA83" s="1" t="s">
        <v>825</v>
      </c>
      <c r="BB83" s="1" t="s">
        <v>377</v>
      </c>
      <c r="BC83" s="1" t="s">
        <v>377</v>
      </c>
      <c r="BD83" s="1" t="s">
        <v>377</v>
      </c>
      <c r="BE83" s="1" t="s">
        <v>377</v>
      </c>
      <c r="BF83" s="1" t="s">
        <v>377</v>
      </c>
      <c r="BH83" s="1" t="s">
        <v>785</v>
      </c>
      <c r="BI83" s="1" t="s">
        <v>394</v>
      </c>
      <c r="BJ83" s="1" t="s">
        <v>394</v>
      </c>
      <c r="BK83" s="1" t="s">
        <v>377</v>
      </c>
    </row>
    <row r="84" spans="1:63" x14ac:dyDescent="0.25">
      <c r="A84" s="1">
        <v>83</v>
      </c>
      <c r="B84" s="1" t="s">
        <v>151</v>
      </c>
      <c r="C84" s="1" t="s">
        <v>541</v>
      </c>
      <c r="D84" s="1" t="s">
        <v>44</v>
      </c>
      <c r="E84" s="1" t="s">
        <v>8</v>
      </c>
      <c r="F84" s="1" t="s">
        <v>540</v>
      </c>
      <c r="G84" s="1" t="s">
        <v>56</v>
      </c>
      <c r="H84" s="1">
        <v>2019</v>
      </c>
      <c r="I84" s="1" t="s">
        <v>212</v>
      </c>
      <c r="J84" s="1" t="s">
        <v>51</v>
      </c>
      <c r="K84" s="1">
        <v>544</v>
      </c>
      <c r="L84" s="1" t="s">
        <v>338</v>
      </c>
      <c r="M84" s="1">
        <v>23</v>
      </c>
      <c r="N84" s="1" t="s">
        <v>334</v>
      </c>
      <c r="O84" s="1" t="s">
        <v>44</v>
      </c>
      <c r="P84" s="1" t="s">
        <v>230</v>
      </c>
      <c r="Q84" s="1" t="s">
        <v>518</v>
      </c>
      <c r="R84" s="1" t="s">
        <v>539</v>
      </c>
      <c r="S84" s="1" t="s">
        <v>21</v>
      </c>
      <c r="T84" s="1" t="s">
        <v>43</v>
      </c>
      <c r="U84" s="1" t="s">
        <v>209</v>
      </c>
      <c r="V84" s="1" t="s">
        <v>44</v>
      </c>
      <c r="W84" s="1" t="s">
        <v>377</v>
      </c>
      <c r="X84" s="1" t="s">
        <v>394</v>
      </c>
      <c r="Y84" s="1" t="s">
        <v>394</v>
      </c>
      <c r="Z84" s="1" t="s">
        <v>394</v>
      </c>
      <c r="AA84" s="1" t="s">
        <v>394</v>
      </c>
      <c r="AB84" s="3" t="s">
        <v>394</v>
      </c>
      <c r="AC84" s="1" t="str">
        <f t="shared" si="2"/>
        <v>No</v>
      </c>
      <c r="AD84" s="1" t="s">
        <v>394</v>
      </c>
      <c r="AE84" s="1" t="s">
        <v>394</v>
      </c>
      <c r="AF84" s="1" t="s">
        <v>394</v>
      </c>
      <c r="AG84" s="1" t="s">
        <v>394</v>
      </c>
      <c r="AH84" s="1" t="s">
        <v>394</v>
      </c>
      <c r="AI84" s="1" t="s">
        <v>394</v>
      </c>
      <c r="AJ84" s="1" t="s">
        <v>394</v>
      </c>
      <c r="AK84" s="1" t="s">
        <v>394</v>
      </c>
      <c r="AL84" s="1" t="s">
        <v>394</v>
      </c>
      <c r="AM84" s="1" t="str">
        <f t="shared" si="3"/>
        <v>OK</v>
      </c>
      <c r="AN84" s="1" t="s">
        <v>383</v>
      </c>
      <c r="AO84" s="1" t="s">
        <v>778</v>
      </c>
      <c r="AP84" s="1" t="s">
        <v>394</v>
      </c>
      <c r="AQ84" s="1" t="s">
        <v>394</v>
      </c>
      <c r="AR84" s="1" t="s">
        <v>394</v>
      </c>
      <c r="AS84" s="1" t="s">
        <v>377</v>
      </c>
      <c r="AT84" s="1" t="s">
        <v>377</v>
      </c>
      <c r="AU84" s="1" t="s">
        <v>394</v>
      </c>
      <c r="AV84" s="1" t="s">
        <v>377</v>
      </c>
      <c r="AW84" s="1" t="s">
        <v>394</v>
      </c>
      <c r="AX84" s="1" t="s">
        <v>378</v>
      </c>
      <c r="AY84" s="1" t="s">
        <v>394</v>
      </c>
      <c r="AZ84" s="1" t="s">
        <v>394</v>
      </c>
      <c r="BA84" s="1" t="s">
        <v>394</v>
      </c>
      <c r="BB84" s="1" t="s">
        <v>377</v>
      </c>
      <c r="BC84" s="1" t="s">
        <v>377</v>
      </c>
      <c r="BD84" s="1" t="s">
        <v>377</v>
      </c>
      <c r="BE84" s="1" t="s">
        <v>377</v>
      </c>
      <c r="BF84" s="1" t="s">
        <v>377</v>
      </c>
      <c r="BH84" s="1" t="s">
        <v>785</v>
      </c>
      <c r="BI84" s="1" t="s">
        <v>394</v>
      </c>
      <c r="BJ84" s="1" t="s">
        <v>394</v>
      </c>
      <c r="BK84" s="1" t="s">
        <v>394</v>
      </c>
    </row>
    <row r="85" spans="1:63" x14ac:dyDescent="0.25">
      <c r="A85" s="1">
        <v>84</v>
      </c>
      <c r="B85" s="1" t="s">
        <v>152</v>
      </c>
      <c r="C85" s="1" t="s">
        <v>543</v>
      </c>
      <c r="D85" s="1" t="s">
        <v>544</v>
      </c>
      <c r="E85" s="1" t="s">
        <v>8</v>
      </c>
      <c r="F85" s="1" t="s">
        <v>542</v>
      </c>
      <c r="G85" s="1" t="s">
        <v>48</v>
      </c>
      <c r="H85" s="1">
        <v>2018</v>
      </c>
      <c r="I85" s="1" t="s">
        <v>219</v>
      </c>
      <c r="J85" s="1" t="s">
        <v>51</v>
      </c>
      <c r="K85" s="1">
        <v>77</v>
      </c>
      <c r="L85" s="1" t="s">
        <v>351</v>
      </c>
      <c r="M85" s="1" t="s">
        <v>545</v>
      </c>
      <c r="N85" s="1" t="s">
        <v>350</v>
      </c>
      <c r="O85" s="1" t="s">
        <v>44</v>
      </c>
      <c r="P85" s="1" t="s">
        <v>230</v>
      </c>
      <c r="Q85" s="1" t="s">
        <v>518</v>
      </c>
      <c r="R85" s="1" t="s">
        <v>548</v>
      </c>
      <c r="S85" s="1" t="s">
        <v>21</v>
      </c>
      <c r="T85" s="1" t="s">
        <v>43</v>
      </c>
      <c r="U85" s="1" t="s">
        <v>209</v>
      </c>
      <c r="V85" s="1" t="s">
        <v>546</v>
      </c>
      <c r="W85" s="1" t="s">
        <v>377</v>
      </c>
      <c r="X85" s="1" t="s">
        <v>394</v>
      </c>
      <c r="Y85" s="1" t="s">
        <v>394</v>
      </c>
      <c r="Z85" s="1" t="s">
        <v>377</v>
      </c>
      <c r="AA85" s="1" t="s">
        <v>394</v>
      </c>
      <c r="AB85" s="3" t="s">
        <v>394</v>
      </c>
      <c r="AC85" s="1" t="str">
        <f t="shared" si="2"/>
        <v>Yes</v>
      </c>
      <c r="AD85" s="1" t="s">
        <v>394</v>
      </c>
      <c r="AE85" s="1" t="s">
        <v>394</v>
      </c>
      <c r="AF85" s="1" t="s">
        <v>394</v>
      </c>
      <c r="AG85" s="1" t="s">
        <v>394</v>
      </c>
      <c r="AH85" s="1" t="s">
        <v>394</v>
      </c>
      <c r="AI85" s="1" t="s">
        <v>394</v>
      </c>
      <c r="AJ85" s="1" t="s">
        <v>394</v>
      </c>
      <c r="AK85" s="1" t="s">
        <v>394</v>
      </c>
      <c r="AL85" s="1" t="s">
        <v>394</v>
      </c>
      <c r="AM85" s="1" t="str">
        <f t="shared" si="3"/>
        <v>OK</v>
      </c>
      <c r="AN85" s="1" t="s">
        <v>383</v>
      </c>
      <c r="AO85" s="1" t="s">
        <v>396</v>
      </c>
      <c r="AP85" s="1" t="s">
        <v>394</v>
      </c>
      <c r="AQ85" s="1" t="s">
        <v>394</v>
      </c>
      <c r="AR85" s="1" t="s">
        <v>394</v>
      </c>
      <c r="AS85" s="1" t="s">
        <v>377</v>
      </c>
      <c r="AT85" s="1" t="s">
        <v>377</v>
      </c>
      <c r="AU85" s="1" t="s">
        <v>377</v>
      </c>
      <c r="AV85" s="1" t="s">
        <v>377</v>
      </c>
      <c r="AW85" s="1" t="s">
        <v>394</v>
      </c>
      <c r="AX85" s="1" t="s">
        <v>377</v>
      </c>
      <c r="AY85" s="1" t="s">
        <v>394</v>
      </c>
      <c r="AZ85" s="1" t="s">
        <v>394</v>
      </c>
      <c r="BA85" s="1" t="s">
        <v>825</v>
      </c>
      <c r="BB85" s="1" t="s">
        <v>377</v>
      </c>
      <c r="BC85" s="1" t="s">
        <v>377</v>
      </c>
      <c r="BD85" s="1" t="s">
        <v>377</v>
      </c>
      <c r="BE85" s="1" t="s">
        <v>378</v>
      </c>
      <c r="BF85" s="1" t="s">
        <v>377</v>
      </c>
      <c r="BH85" s="1" t="s">
        <v>785</v>
      </c>
      <c r="BI85" s="1" t="s">
        <v>394</v>
      </c>
      <c r="BJ85" s="1" t="s">
        <v>394</v>
      </c>
      <c r="BK85" s="1" t="s">
        <v>394</v>
      </c>
    </row>
    <row r="86" spans="1:63" x14ac:dyDescent="0.25">
      <c r="A86" s="1">
        <v>85</v>
      </c>
      <c r="B86" s="1" t="s">
        <v>39</v>
      </c>
      <c r="C86" s="1" t="s">
        <v>550</v>
      </c>
      <c r="D86" s="1" t="s">
        <v>44</v>
      </c>
      <c r="E86" s="1" t="s">
        <v>8</v>
      </c>
      <c r="F86" s="1" t="s">
        <v>70</v>
      </c>
      <c r="G86" s="1" t="s">
        <v>56</v>
      </c>
      <c r="H86" s="1">
        <v>2013</v>
      </c>
      <c r="I86" s="1" t="s">
        <v>26</v>
      </c>
      <c r="J86" s="1" t="s">
        <v>51</v>
      </c>
      <c r="K86" s="1">
        <v>59</v>
      </c>
      <c r="L86" s="1" t="s">
        <v>475</v>
      </c>
      <c r="M86" s="1" t="s">
        <v>757</v>
      </c>
      <c r="N86" s="1" t="s">
        <v>466</v>
      </c>
      <c r="O86" s="1" t="s">
        <v>44</v>
      </c>
      <c r="P86" s="1" t="s">
        <v>20</v>
      </c>
      <c r="Q86" s="1" t="s">
        <v>466</v>
      </c>
      <c r="R86" s="1" t="s">
        <v>549</v>
      </c>
      <c r="S86" s="1" t="s">
        <v>21</v>
      </c>
      <c r="T86" s="1" t="s">
        <v>8</v>
      </c>
      <c r="U86" s="1" t="s">
        <v>758</v>
      </c>
      <c r="V86" s="1" t="s">
        <v>44</v>
      </c>
      <c r="W86" s="1" t="s">
        <v>394</v>
      </c>
      <c r="X86" s="1" t="s">
        <v>394</v>
      </c>
      <c r="Y86" s="1" t="s">
        <v>377</v>
      </c>
      <c r="Z86" s="1" t="s">
        <v>394</v>
      </c>
      <c r="AA86" s="1" t="s">
        <v>394</v>
      </c>
      <c r="AB86" s="3" t="s">
        <v>394</v>
      </c>
      <c r="AC86" s="1" t="str">
        <f t="shared" si="2"/>
        <v>No</v>
      </c>
      <c r="AD86" s="1" t="s">
        <v>394</v>
      </c>
      <c r="AE86" s="1" t="s">
        <v>394</v>
      </c>
      <c r="AF86" s="1" t="s">
        <v>394</v>
      </c>
      <c r="AG86" s="1" t="s">
        <v>394</v>
      </c>
      <c r="AH86" s="1" t="s">
        <v>394</v>
      </c>
      <c r="AI86" s="1" t="s">
        <v>394</v>
      </c>
      <c r="AJ86" s="1" t="s">
        <v>394</v>
      </c>
      <c r="AK86" s="1" t="s">
        <v>394</v>
      </c>
      <c r="AL86" s="1" t="s">
        <v>394</v>
      </c>
      <c r="AM86" s="1" t="str">
        <f t="shared" si="3"/>
        <v>OK</v>
      </c>
      <c r="AN86" s="1" t="s">
        <v>383</v>
      </c>
      <c r="AO86" s="1" t="s">
        <v>47</v>
      </c>
      <c r="AP86" s="1" t="s">
        <v>394</v>
      </c>
      <c r="AQ86" s="1" t="s">
        <v>394</v>
      </c>
      <c r="AR86" s="1" t="s">
        <v>394</v>
      </c>
      <c r="AS86" s="1" t="s">
        <v>377</v>
      </c>
      <c r="AT86" s="1" t="s">
        <v>377</v>
      </c>
      <c r="AU86" s="1" t="s">
        <v>394</v>
      </c>
      <c r="AV86" s="1" t="s">
        <v>377</v>
      </c>
      <c r="AW86" s="1" t="s">
        <v>394</v>
      </c>
      <c r="AX86" s="1" t="s">
        <v>377</v>
      </c>
      <c r="AY86" s="1" t="s">
        <v>394</v>
      </c>
      <c r="AZ86" s="1" t="s">
        <v>394</v>
      </c>
      <c r="BA86" s="1" t="s">
        <v>394</v>
      </c>
      <c r="BB86" s="1" t="s">
        <v>377</v>
      </c>
      <c r="BC86" s="1" t="s">
        <v>394</v>
      </c>
      <c r="BD86" s="1" t="s">
        <v>394</v>
      </c>
      <c r="BE86" s="1" t="s">
        <v>825</v>
      </c>
      <c r="BF86" s="1" t="s">
        <v>394</v>
      </c>
      <c r="BH86" s="1" t="s">
        <v>785</v>
      </c>
      <c r="BI86" s="1" t="s">
        <v>394</v>
      </c>
      <c r="BJ86" s="1" t="s">
        <v>394</v>
      </c>
      <c r="BK86" s="1" t="s">
        <v>394</v>
      </c>
    </row>
    <row r="87" spans="1:63" x14ac:dyDescent="0.25">
      <c r="A87" s="1">
        <v>86</v>
      </c>
      <c r="B87" s="1" t="s">
        <v>153</v>
      </c>
      <c r="C87" s="1" t="s">
        <v>554</v>
      </c>
      <c r="D87" s="1" t="s">
        <v>555</v>
      </c>
      <c r="E87" s="1" t="s">
        <v>8</v>
      </c>
      <c r="F87" s="1" t="s">
        <v>553</v>
      </c>
      <c r="G87" s="1" t="s">
        <v>68</v>
      </c>
      <c r="H87" s="1">
        <v>2014</v>
      </c>
      <c r="I87" s="1" t="s">
        <v>34</v>
      </c>
      <c r="J87" s="1" t="s">
        <v>51</v>
      </c>
      <c r="K87" s="1">
        <v>87</v>
      </c>
      <c r="L87" s="1" t="s">
        <v>475</v>
      </c>
      <c r="M87" s="1" t="s">
        <v>551</v>
      </c>
      <c r="N87" s="1" t="s">
        <v>466</v>
      </c>
      <c r="O87" s="1" t="s">
        <v>44</v>
      </c>
      <c r="P87" s="1" t="s">
        <v>20</v>
      </c>
      <c r="Q87" s="1" t="s">
        <v>466</v>
      </c>
      <c r="R87" s="1" t="s">
        <v>47</v>
      </c>
      <c r="S87" s="1" t="s">
        <v>21</v>
      </c>
      <c r="T87" s="1" t="s">
        <v>43</v>
      </c>
      <c r="U87" s="1" t="s">
        <v>209</v>
      </c>
      <c r="V87" s="1" t="s">
        <v>552</v>
      </c>
      <c r="W87" s="1" t="s">
        <v>377</v>
      </c>
      <c r="X87" s="1" t="s">
        <v>377</v>
      </c>
      <c r="Y87" s="1" t="s">
        <v>394</v>
      </c>
      <c r="Z87" s="1" t="s">
        <v>394</v>
      </c>
      <c r="AA87" s="1" t="s">
        <v>394</v>
      </c>
      <c r="AB87" s="3" t="s">
        <v>394</v>
      </c>
      <c r="AC87" s="1" t="str">
        <f t="shared" si="2"/>
        <v>No</v>
      </c>
      <c r="AD87" s="1" t="s">
        <v>394</v>
      </c>
      <c r="AE87" s="1" t="s">
        <v>394</v>
      </c>
      <c r="AF87" s="1" t="s">
        <v>394</v>
      </c>
      <c r="AG87" s="1" t="s">
        <v>394</v>
      </c>
      <c r="AH87" s="1" t="s">
        <v>394</v>
      </c>
      <c r="AI87" s="1" t="s">
        <v>394</v>
      </c>
      <c r="AJ87" s="1" t="s">
        <v>394</v>
      </c>
      <c r="AK87" s="1" t="s">
        <v>394</v>
      </c>
      <c r="AL87" s="1" t="s">
        <v>394</v>
      </c>
      <c r="AM87" s="1" t="str">
        <f t="shared" si="3"/>
        <v>OK</v>
      </c>
      <c r="AN87" s="1" t="s">
        <v>383</v>
      </c>
      <c r="AO87" s="1" t="s">
        <v>384</v>
      </c>
      <c r="AP87" s="1" t="s">
        <v>394</v>
      </c>
      <c r="AQ87" s="1" t="s">
        <v>394</v>
      </c>
      <c r="AR87" s="1" t="s">
        <v>394</v>
      </c>
      <c r="AS87" s="1" t="s">
        <v>377</v>
      </c>
      <c r="AT87" s="1" t="s">
        <v>377</v>
      </c>
      <c r="AU87" s="1" t="s">
        <v>378</v>
      </c>
      <c r="AV87" s="1" t="s">
        <v>377</v>
      </c>
      <c r="AW87" s="1" t="s">
        <v>394</v>
      </c>
      <c r="AX87" s="1" t="s">
        <v>378</v>
      </c>
      <c r="AY87" s="1" t="s">
        <v>394</v>
      </c>
      <c r="AZ87" s="1" t="s">
        <v>394</v>
      </c>
      <c r="BA87" s="1" t="s">
        <v>825</v>
      </c>
      <c r="BB87" s="1" t="s">
        <v>377</v>
      </c>
      <c r="BC87" s="1" t="s">
        <v>377</v>
      </c>
      <c r="BD87" s="1" t="s">
        <v>377</v>
      </c>
      <c r="BE87" s="1" t="s">
        <v>377</v>
      </c>
      <c r="BF87" s="1" t="s">
        <v>377</v>
      </c>
      <c r="BH87" s="1" t="s">
        <v>785</v>
      </c>
      <c r="BI87" s="1" t="s">
        <v>394</v>
      </c>
      <c r="BJ87" s="1" t="s">
        <v>394</v>
      </c>
      <c r="BK87" s="1" t="s">
        <v>394</v>
      </c>
    </row>
    <row r="88" spans="1:63" x14ac:dyDescent="0.25">
      <c r="A88" s="1">
        <v>87</v>
      </c>
      <c r="B88" s="1" t="s">
        <v>154</v>
      </c>
      <c r="C88" s="1" t="s">
        <v>559</v>
      </c>
      <c r="D88" s="1" t="s">
        <v>560</v>
      </c>
      <c r="E88" s="1" t="s">
        <v>8</v>
      </c>
      <c r="F88" s="1" t="s">
        <v>558</v>
      </c>
      <c r="G88" s="1" t="s">
        <v>767</v>
      </c>
      <c r="H88" s="1">
        <v>2019</v>
      </c>
      <c r="I88" s="1" t="s">
        <v>212</v>
      </c>
      <c r="J88" s="1" t="s">
        <v>51</v>
      </c>
      <c r="K88" s="1">
        <v>288</v>
      </c>
      <c r="L88" s="1" t="s">
        <v>475</v>
      </c>
      <c r="M88" s="1" t="s">
        <v>556</v>
      </c>
      <c r="N88" s="1" t="s">
        <v>466</v>
      </c>
      <c r="O88" s="1" t="s">
        <v>44</v>
      </c>
      <c r="P88" s="1" t="s">
        <v>20</v>
      </c>
      <c r="Q88" s="1" t="s">
        <v>466</v>
      </c>
      <c r="R88" s="1" t="s">
        <v>47</v>
      </c>
      <c r="S88" s="1" t="s">
        <v>21</v>
      </c>
      <c r="T88" s="1" t="s">
        <v>43</v>
      </c>
      <c r="U88" s="1" t="s">
        <v>511</v>
      </c>
      <c r="V88" s="1" t="s">
        <v>557</v>
      </c>
      <c r="W88" s="1" t="s">
        <v>377</v>
      </c>
      <c r="X88" s="1" t="s">
        <v>377</v>
      </c>
      <c r="Y88" s="1" t="s">
        <v>394</v>
      </c>
      <c r="Z88" s="1" t="s">
        <v>377</v>
      </c>
      <c r="AA88" s="1" t="s">
        <v>394</v>
      </c>
      <c r="AB88" s="3" t="s">
        <v>394</v>
      </c>
      <c r="AC88" s="1" t="str">
        <f t="shared" si="2"/>
        <v>Yes</v>
      </c>
      <c r="AD88" s="1" t="s">
        <v>394</v>
      </c>
      <c r="AE88" s="1" t="s">
        <v>394</v>
      </c>
      <c r="AF88" s="1" t="s">
        <v>394</v>
      </c>
      <c r="AG88" s="1" t="s">
        <v>394</v>
      </c>
      <c r="AH88" s="1" t="s">
        <v>394</v>
      </c>
      <c r="AI88" s="1" t="s">
        <v>394</v>
      </c>
      <c r="AJ88" s="1" t="s">
        <v>394</v>
      </c>
      <c r="AK88" s="1" t="s">
        <v>394</v>
      </c>
      <c r="AL88" s="1" t="s">
        <v>394</v>
      </c>
      <c r="AM88" s="1" t="str">
        <f t="shared" si="3"/>
        <v>OK</v>
      </c>
      <c r="AN88" s="1" t="s">
        <v>383</v>
      </c>
      <c r="AO88" s="1" t="s">
        <v>384</v>
      </c>
      <c r="AP88" s="1" t="s">
        <v>394</v>
      </c>
      <c r="AQ88" s="1" t="s">
        <v>394</v>
      </c>
      <c r="AR88" s="1" t="s">
        <v>394</v>
      </c>
      <c r="AS88" s="1" t="s">
        <v>377</v>
      </c>
      <c r="AT88" s="1" t="s">
        <v>377</v>
      </c>
      <c r="AU88" s="1" t="s">
        <v>378</v>
      </c>
      <c r="AV88" s="1" t="s">
        <v>377</v>
      </c>
      <c r="AW88" s="1" t="s">
        <v>394</v>
      </c>
      <c r="AX88" s="1" t="s">
        <v>377</v>
      </c>
      <c r="AY88" s="1" t="s">
        <v>394</v>
      </c>
      <c r="AZ88" s="1" t="s">
        <v>394</v>
      </c>
      <c r="BA88" s="1" t="s">
        <v>394</v>
      </c>
      <c r="BB88" s="1" t="s">
        <v>377</v>
      </c>
      <c r="BC88" s="1" t="s">
        <v>377</v>
      </c>
      <c r="BD88" s="1" t="s">
        <v>377</v>
      </c>
      <c r="BE88" s="1" t="s">
        <v>378</v>
      </c>
      <c r="BF88" s="1" t="s">
        <v>377</v>
      </c>
      <c r="BH88" s="1" t="s">
        <v>785</v>
      </c>
      <c r="BI88" s="1" t="s">
        <v>394</v>
      </c>
      <c r="BJ88" s="1" t="s">
        <v>394</v>
      </c>
      <c r="BK88" s="1" t="s">
        <v>394</v>
      </c>
    </row>
    <row r="89" spans="1:63" x14ac:dyDescent="0.25">
      <c r="A89" s="1">
        <v>88</v>
      </c>
      <c r="B89" s="1" t="s">
        <v>155</v>
      </c>
      <c r="C89" s="1" t="s">
        <v>563</v>
      </c>
      <c r="D89" s="1" t="s">
        <v>44</v>
      </c>
      <c r="E89" s="1" t="s">
        <v>8</v>
      </c>
      <c r="F89" s="1" t="s">
        <v>562</v>
      </c>
      <c r="G89" s="1" t="s">
        <v>56</v>
      </c>
      <c r="H89" s="1">
        <v>2022</v>
      </c>
      <c r="I89" s="1" t="s">
        <v>561</v>
      </c>
      <c r="J89" s="1" t="s">
        <v>51</v>
      </c>
      <c r="K89" s="1">
        <v>94</v>
      </c>
      <c r="L89" s="1" t="s">
        <v>475</v>
      </c>
      <c r="M89" s="1">
        <v>66</v>
      </c>
      <c r="N89" s="1" t="s">
        <v>466</v>
      </c>
      <c r="O89" s="1" t="s">
        <v>44</v>
      </c>
      <c r="P89" s="1" t="s">
        <v>20</v>
      </c>
      <c r="Q89" s="1" t="s">
        <v>466</v>
      </c>
      <c r="R89" s="1" t="s">
        <v>47</v>
      </c>
      <c r="S89" s="1" t="s">
        <v>21</v>
      </c>
      <c r="T89" s="1" t="s">
        <v>43</v>
      </c>
      <c r="U89" s="1" t="s">
        <v>209</v>
      </c>
      <c r="V89" s="1" t="s">
        <v>44</v>
      </c>
      <c r="W89" s="1" t="s">
        <v>377</v>
      </c>
      <c r="X89" s="1" t="s">
        <v>394</v>
      </c>
      <c r="Y89" s="1" t="s">
        <v>394</v>
      </c>
      <c r="Z89" s="1" t="s">
        <v>394</v>
      </c>
      <c r="AA89" s="1" t="s">
        <v>394</v>
      </c>
      <c r="AB89" s="3" t="s">
        <v>394</v>
      </c>
      <c r="AC89" s="1" t="str">
        <f t="shared" si="2"/>
        <v>No</v>
      </c>
      <c r="AD89" s="1" t="s">
        <v>394</v>
      </c>
      <c r="AE89" s="1" t="s">
        <v>394</v>
      </c>
      <c r="AF89" s="1" t="s">
        <v>394</v>
      </c>
      <c r="AG89" s="1" t="s">
        <v>394</v>
      </c>
      <c r="AH89" s="1" t="s">
        <v>394</v>
      </c>
      <c r="AI89" s="1" t="s">
        <v>394</v>
      </c>
      <c r="AJ89" s="1" t="s">
        <v>394</v>
      </c>
      <c r="AK89" s="1" t="s">
        <v>394</v>
      </c>
      <c r="AL89" s="1" t="s">
        <v>394</v>
      </c>
      <c r="AM89" s="1" t="str">
        <f t="shared" si="3"/>
        <v>OK</v>
      </c>
      <c r="AN89" s="1" t="s">
        <v>383</v>
      </c>
      <c r="AO89" s="1" t="s">
        <v>396</v>
      </c>
      <c r="AP89" s="1" t="s">
        <v>394</v>
      </c>
      <c r="AQ89" s="1" t="s">
        <v>394</v>
      </c>
      <c r="AR89" s="1" t="s">
        <v>394</v>
      </c>
      <c r="AS89" s="1" t="s">
        <v>377</v>
      </c>
      <c r="AT89" s="1" t="s">
        <v>377</v>
      </c>
      <c r="AU89" s="1" t="s">
        <v>377</v>
      </c>
      <c r="AV89" s="1" t="s">
        <v>377</v>
      </c>
      <c r="AW89" s="1" t="s">
        <v>394</v>
      </c>
      <c r="AX89" s="1" t="s">
        <v>377</v>
      </c>
      <c r="AY89" s="1" t="s">
        <v>394</v>
      </c>
      <c r="AZ89" s="1" t="s">
        <v>394</v>
      </c>
      <c r="BA89" s="1" t="s">
        <v>825</v>
      </c>
      <c r="BB89" s="1" t="s">
        <v>377</v>
      </c>
      <c r="BC89" s="1" t="s">
        <v>377</v>
      </c>
      <c r="BD89" s="1" t="s">
        <v>377</v>
      </c>
      <c r="BE89" s="1" t="s">
        <v>394</v>
      </c>
      <c r="BF89" s="1" t="s">
        <v>377</v>
      </c>
      <c r="BH89" s="1" t="s">
        <v>785</v>
      </c>
      <c r="BI89" s="1" t="s">
        <v>394</v>
      </c>
      <c r="BJ89" s="1" t="s">
        <v>394</v>
      </c>
      <c r="BK89" s="1" t="s">
        <v>394</v>
      </c>
    </row>
    <row r="90" spans="1:63" x14ac:dyDescent="0.25">
      <c r="A90" s="1">
        <v>89</v>
      </c>
      <c r="B90" s="1" t="s">
        <v>156</v>
      </c>
      <c r="C90" s="1" t="s">
        <v>566</v>
      </c>
      <c r="D90" s="1" t="s">
        <v>44</v>
      </c>
      <c r="E90" s="1" t="s">
        <v>8</v>
      </c>
      <c r="F90" s="1" t="s">
        <v>565</v>
      </c>
      <c r="G90" s="1" t="s">
        <v>56</v>
      </c>
      <c r="H90" s="1">
        <v>2023</v>
      </c>
      <c r="I90" s="1" t="s">
        <v>34</v>
      </c>
      <c r="J90" s="1" t="s">
        <v>51</v>
      </c>
      <c r="K90" s="1">
        <v>285</v>
      </c>
      <c r="L90" s="1" t="s">
        <v>475</v>
      </c>
      <c r="M90" s="1" t="s">
        <v>564</v>
      </c>
      <c r="N90" s="1" t="s">
        <v>466</v>
      </c>
      <c r="O90" s="1" t="s">
        <v>44</v>
      </c>
      <c r="P90" s="1" t="s">
        <v>20</v>
      </c>
      <c r="Q90" s="1" t="s">
        <v>466</v>
      </c>
      <c r="R90" s="1" t="s">
        <v>47</v>
      </c>
      <c r="S90" s="1" t="s">
        <v>21</v>
      </c>
      <c r="T90" s="1" t="s">
        <v>43</v>
      </c>
      <c r="U90" s="1" t="s">
        <v>568</v>
      </c>
      <c r="V90" s="1" t="s">
        <v>44</v>
      </c>
      <c r="W90" s="1" t="s">
        <v>394</v>
      </c>
      <c r="X90" s="1" t="s">
        <v>377</v>
      </c>
      <c r="Y90" s="1" t="s">
        <v>394</v>
      </c>
      <c r="Z90" s="1" t="s">
        <v>377</v>
      </c>
      <c r="AA90" s="1" t="s">
        <v>394</v>
      </c>
      <c r="AB90" s="3" t="s">
        <v>394</v>
      </c>
      <c r="AC90" s="1" t="str">
        <f t="shared" si="2"/>
        <v>Yes</v>
      </c>
      <c r="AD90" s="1" t="s">
        <v>394</v>
      </c>
      <c r="AE90" s="1" t="s">
        <v>394</v>
      </c>
      <c r="AF90" s="1" t="s">
        <v>394</v>
      </c>
      <c r="AG90" s="1" t="s">
        <v>394</v>
      </c>
      <c r="AH90" s="1" t="s">
        <v>394</v>
      </c>
      <c r="AI90" s="1" t="s">
        <v>394</v>
      </c>
      <c r="AJ90" s="1" t="s">
        <v>394</v>
      </c>
      <c r="AK90" s="1" t="s">
        <v>394</v>
      </c>
      <c r="AL90" s="1" t="s">
        <v>394</v>
      </c>
      <c r="AM90" s="1" t="str">
        <f t="shared" si="3"/>
        <v>OK</v>
      </c>
      <c r="AN90" s="1" t="s">
        <v>383</v>
      </c>
      <c r="AO90" s="1" t="s">
        <v>388</v>
      </c>
      <c r="AP90" s="1" t="s">
        <v>394</v>
      </c>
      <c r="AQ90" s="1" t="s">
        <v>394</v>
      </c>
      <c r="AR90" s="1" t="s">
        <v>394</v>
      </c>
      <c r="AS90" s="1" t="s">
        <v>377</v>
      </c>
      <c r="AT90" s="1" t="s">
        <v>377</v>
      </c>
      <c r="AU90" s="1" t="s">
        <v>377</v>
      </c>
      <c r="AV90" s="1" t="s">
        <v>377</v>
      </c>
      <c r="AW90" s="1" t="s">
        <v>394</v>
      </c>
      <c r="AX90" s="1" t="s">
        <v>377</v>
      </c>
      <c r="AY90" s="1" t="s">
        <v>394</v>
      </c>
      <c r="AZ90" s="1" t="s">
        <v>394</v>
      </c>
      <c r="BA90" s="1" t="s">
        <v>394</v>
      </c>
      <c r="BB90" s="1" t="s">
        <v>377</v>
      </c>
      <c r="BC90" s="1" t="s">
        <v>394</v>
      </c>
      <c r="BD90" s="1" t="s">
        <v>394</v>
      </c>
      <c r="BE90" s="1" t="s">
        <v>377</v>
      </c>
      <c r="BF90" s="1" t="s">
        <v>377</v>
      </c>
      <c r="BH90" s="1" t="s">
        <v>802</v>
      </c>
      <c r="BI90" s="1" t="s">
        <v>394</v>
      </c>
      <c r="BJ90" s="1" t="s">
        <v>394</v>
      </c>
      <c r="BK90" s="1" t="s">
        <v>394</v>
      </c>
    </row>
    <row r="91" spans="1:63" x14ac:dyDescent="0.25">
      <c r="A91" s="1">
        <v>90</v>
      </c>
      <c r="B91" s="1" t="s">
        <v>157</v>
      </c>
      <c r="C91" s="1" t="s">
        <v>571</v>
      </c>
      <c r="D91" s="1" t="s">
        <v>44</v>
      </c>
      <c r="E91" s="1" t="s">
        <v>8</v>
      </c>
      <c r="F91" s="1" t="s">
        <v>570</v>
      </c>
      <c r="G91" s="1" t="s">
        <v>56</v>
      </c>
      <c r="H91" s="1">
        <v>2022</v>
      </c>
      <c r="I91" s="1" t="s">
        <v>212</v>
      </c>
      <c r="J91" s="1" t="s">
        <v>51</v>
      </c>
      <c r="K91" s="1">
        <v>2415</v>
      </c>
      <c r="L91" s="1" t="s">
        <v>475</v>
      </c>
      <c r="M91" s="1" t="s">
        <v>569</v>
      </c>
      <c r="N91" s="1" t="s">
        <v>466</v>
      </c>
      <c r="O91" s="1" t="s">
        <v>44</v>
      </c>
      <c r="P91" s="1" t="s">
        <v>20</v>
      </c>
      <c r="Q91" s="1" t="s">
        <v>466</v>
      </c>
      <c r="R91" s="1" t="s">
        <v>47</v>
      </c>
      <c r="S91" s="1" t="s">
        <v>21</v>
      </c>
      <c r="T91" s="1" t="s">
        <v>43</v>
      </c>
      <c r="U91" s="1" t="s">
        <v>568</v>
      </c>
      <c r="V91" s="1" t="s">
        <v>567</v>
      </c>
      <c r="W91" s="1" t="s">
        <v>394</v>
      </c>
      <c r="X91" s="1" t="s">
        <v>377</v>
      </c>
      <c r="Y91" s="1" t="s">
        <v>394</v>
      </c>
      <c r="Z91" s="1" t="s">
        <v>394</v>
      </c>
      <c r="AA91" s="1" t="s">
        <v>394</v>
      </c>
      <c r="AB91" s="3" t="s">
        <v>394</v>
      </c>
      <c r="AC91" s="1" t="str">
        <f t="shared" si="2"/>
        <v>No</v>
      </c>
      <c r="AD91" s="1" t="s">
        <v>394</v>
      </c>
      <c r="AE91" s="1" t="s">
        <v>394</v>
      </c>
      <c r="AF91" s="1" t="s">
        <v>394</v>
      </c>
      <c r="AG91" s="1" t="s">
        <v>394</v>
      </c>
      <c r="AH91" s="1" t="s">
        <v>394</v>
      </c>
      <c r="AI91" s="1" t="s">
        <v>377</v>
      </c>
      <c r="AJ91" s="1" t="s">
        <v>394</v>
      </c>
      <c r="AK91" s="1" t="s">
        <v>377</v>
      </c>
      <c r="AL91" s="1" t="s">
        <v>394</v>
      </c>
      <c r="AM91" s="1" t="str">
        <f t="shared" si="3"/>
        <v>OK</v>
      </c>
      <c r="AN91" s="1" t="s">
        <v>383</v>
      </c>
      <c r="AO91" s="1" t="s">
        <v>387</v>
      </c>
      <c r="AP91" s="1" t="s">
        <v>394</v>
      </c>
      <c r="AQ91" s="1" t="s">
        <v>394</v>
      </c>
      <c r="AR91" s="1" t="s">
        <v>394</v>
      </c>
      <c r="AS91" s="1" t="s">
        <v>377</v>
      </c>
      <c r="AT91" s="1" t="s">
        <v>377</v>
      </c>
      <c r="AU91" s="1" t="s">
        <v>394</v>
      </c>
      <c r="AV91" s="1" t="s">
        <v>377</v>
      </c>
      <c r="AW91" s="1" t="s">
        <v>378</v>
      </c>
      <c r="AX91" s="1" t="s">
        <v>378</v>
      </c>
      <c r="AY91" s="1" t="s">
        <v>394</v>
      </c>
      <c r="AZ91" s="1" t="s">
        <v>394</v>
      </c>
      <c r="BA91" s="1" t="s">
        <v>394</v>
      </c>
      <c r="BB91" s="1" t="s">
        <v>377</v>
      </c>
      <c r="BC91" s="1" t="s">
        <v>377</v>
      </c>
      <c r="BD91" s="1" t="s">
        <v>394</v>
      </c>
      <c r="BE91" s="1" t="s">
        <v>377</v>
      </c>
      <c r="BF91" s="1" t="s">
        <v>377</v>
      </c>
      <c r="BH91" s="1" t="s">
        <v>785</v>
      </c>
      <c r="BI91" s="1" t="s">
        <v>394</v>
      </c>
      <c r="BJ91" s="1" t="s">
        <v>394</v>
      </c>
      <c r="BK91" s="1" t="s">
        <v>394</v>
      </c>
    </row>
    <row r="92" spans="1:63" x14ac:dyDescent="0.25">
      <c r="A92" s="1">
        <v>91</v>
      </c>
      <c r="B92" s="1" t="s">
        <v>158</v>
      </c>
      <c r="C92" s="1" t="s">
        <v>573</v>
      </c>
      <c r="D92" s="1" t="s">
        <v>44</v>
      </c>
      <c r="E92" s="1" t="s">
        <v>8</v>
      </c>
      <c r="F92" s="1" t="s">
        <v>572</v>
      </c>
      <c r="G92" s="1" t="s">
        <v>443</v>
      </c>
      <c r="H92" s="1">
        <v>2020</v>
      </c>
      <c r="I92" s="1" t="s">
        <v>212</v>
      </c>
      <c r="J92" s="1" t="s">
        <v>51</v>
      </c>
      <c r="K92" s="1">
        <v>155</v>
      </c>
      <c r="L92" s="1" t="s">
        <v>475</v>
      </c>
      <c r="M92" s="1" t="s">
        <v>751</v>
      </c>
      <c r="N92" s="1" t="s">
        <v>466</v>
      </c>
      <c r="O92" s="1" t="s">
        <v>44</v>
      </c>
      <c r="P92" s="1" t="s">
        <v>20</v>
      </c>
      <c r="Q92" s="1" t="s">
        <v>466</v>
      </c>
      <c r="R92" s="1" t="s">
        <v>47</v>
      </c>
      <c r="S92" s="1" t="s">
        <v>21</v>
      </c>
      <c r="T92" s="1" t="s">
        <v>43</v>
      </c>
      <c r="U92" s="1" t="s">
        <v>209</v>
      </c>
      <c r="V92" s="1" t="s">
        <v>44</v>
      </c>
      <c r="W92" s="1" t="s">
        <v>377</v>
      </c>
      <c r="X92" s="1" t="s">
        <v>394</v>
      </c>
      <c r="Y92" s="1" t="s">
        <v>394</v>
      </c>
      <c r="Z92" s="1" t="s">
        <v>377</v>
      </c>
      <c r="AA92" s="1" t="s">
        <v>394</v>
      </c>
      <c r="AB92" s="3" t="s">
        <v>394</v>
      </c>
      <c r="AC92" s="1" t="str">
        <f t="shared" si="2"/>
        <v>Yes</v>
      </c>
      <c r="AD92" s="1" t="s">
        <v>394</v>
      </c>
      <c r="AE92" s="1" t="s">
        <v>394</v>
      </c>
      <c r="AF92" s="1" t="s">
        <v>394</v>
      </c>
      <c r="AG92" s="1" t="s">
        <v>394</v>
      </c>
      <c r="AH92" s="1" t="s">
        <v>394</v>
      </c>
      <c r="AI92" s="1" t="s">
        <v>394</v>
      </c>
      <c r="AJ92" s="1" t="s">
        <v>394</v>
      </c>
      <c r="AK92" s="1" t="s">
        <v>394</v>
      </c>
      <c r="AL92" s="1" t="s">
        <v>394</v>
      </c>
      <c r="AM92" s="1" t="str">
        <f t="shared" si="3"/>
        <v>OK</v>
      </c>
      <c r="AN92" s="1" t="s">
        <v>383</v>
      </c>
      <c r="AO92" s="1" t="s">
        <v>384</v>
      </c>
      <c r="AP92" s="1" t="s">
        <v>394</v>
      </c>
      <c r="AQ92" s="1" t="s">
        <v>394</v>
      </c>
      <c r="AR92" s="1" t="s">
        <v>394</v>
      </c>
      <c r="AS92" s="1" t="s">
        <v>377</v>
      </c>
      <c r="AT92" s="1" t="s">
        <v>377</v>
      </c>
      <c r="AU92" s="1" t="s">
        <v>394</v>
      </c>
      <c r="AV92" s="1" t="s">
        <v>377</v>
      </c>
      <c r="AW92" s="1" t="s">
        <v>394</v>
      </c>
      <c r="AX92" s="1" t="s">
        <v>377</v>
      </c>
      <c r="AY92" s="1" t="s">
        <v>394</v>
      </c>
      <c r="AZ92" s="1" t="s">
        <v>394</v>
      </c>
      <c r="BA92" s="1" t="s">
        <v>825</v>
      </c>
      <c r="BB92" s="1" t="s">
        <v>377</v>
      </c>
      <c r="BC92" s="1" t="s">
        <v>377</v>
      </c>
      <c r="BD92" s="1" t="s">
        <v>377</v>
      </c>
      <c r="BE92" s="1" t="s">
        <v>394</v>
      </c>
      <c r="BF92" s="1" t="s">
        <v>394</v>
      </c>
      <c r="BH92" s="1" t="s">
        <v>785</v>
      </c>
      <c r="BI92" s="1" t="s">
        <v>394</v>
      </c>
      <c r="BJ92" s="1" t="s">
        <v>394</v>
      </c>
      <c r="BK92" s="1" t="s">
        <v>394</v>
      </c>
    </row>
    <row r="93" spans="1:63" x14ac:dyDescent="0.25">
      <c r="A93" s="1">
        <v>92</v>
      </c>
      <c r="B93" s="1" t="s">
        <v>159</v>
      </c>
      <c r="C93" s="1" t="s">
        <v>577</v>
      </c>
      <c r="D93" s="1" t="s">
        <v>44</v>
      </c>
      <c r="E93" s="1" t="s">
        <v>8</v>
      </c>
      <c r="F93" s="1" t="s">
        <v>576</v>
      </c>
      <c r="G93" s="1" t="s">
        <v>56</v>
      </c>
      <c r="H93" s="1">
        <v>2023</v>
      </c>
      <c r="I93" s="1" t="s">
        <v>339</v>
      </c>
      <c r="J93" s="1" t="s">
        <v>51</v>
      </c>
      <c r="K93" s="1">
        <v>428</v>
      </c>
      <c r="L93" s="1" t="s">
        <v>475</v>
      </c>
      <c r="M93" s="1" t="s">
        <v>47</v>
      </c>
      <c r="N93" s="1" t="s">
        <v>466</v>
      </c>
      <c r="O93" s="1" t="s">
        <v>44</v>
      </c>
      <c r="P93" s="1" t="s">
        <v>20</v>
      </c>
      <c r="Q93" s="1" t="s">
        <v>466</v>
      </c>
      <c r="R93" s="1" t="s">
        <v>47</v>
      </c>
      <c r="S93" s="1" t="s">
        <v>21</v>
      </c>
      <c r="T93" s="1" t="s">
        <v>43</v>
      </c>
      <c r="U93" s="1" t="s">
        <v>574</v>
      </c>
      <c r="V93" s="1" t="s">
        <v>575</v>
      </c>
      <c r="W93" s="1" t="s">
        <v>377</v>
      </c>
      <c r="X93" s="1" t="s">
        <v>377</v>
      </c>
      <c r="Y93" s="1" t="s">
        <v>394</v>
      </c>
      <c r="Z93" s="1" t="s">
        <v>377</v>
      </c>
      <c r="AA93" s="1" t="s">
        <v>394</v>
      </c>
      <c r="AB93" s="3" t="s">
        <v>394</v>
      </c>
      <c r="AC93" s="1" t="str">
        <f t="shared" si="2"/>
        <v>Yes</v>
      </c>
      <c r="AD93" s="1" t="s">
        <v>394</v>
      </c>
      <c r="AE93" s="1" t="s">
        <v>394</v>
      </c>
      <c r="AF93" s="1" t="s">
        <v>394</v>
      </c>
      <c r="AG93" s="1" t="s">
        <v>394</v>
      </c>
      <c r="AH93" s="1" t="s">
        <v>394</v>
      </c>
      <c r="AI93" s="1" t="s">
        <v>394</v>
      </c>
      <c r="AJ93" s="1" t="s">
        <v>394</v>
      </c>
      <c r="AK93" s="1" t="s">
        <v>394</v>
      </c>
      <c r="AL93" s="1" t="s">
        <v>394</v>
      </c>
      <c r="AM93" s="1" t="str">
        <f t="shared" si="3"/>
        <v>OK</v>
      </c>
      <c r="AN93" s="1" t="s">
        <v>383</v>
      </c>
      <c r="AO93" s="1" t="s">
        <v>387</v>
      </c>
      <c r="AP93" s="1" t="s">
        <v>394</v>
      </c>
      <c r="AQ93" s="1" t="s">
        <v>394</v>
      </c>
      <c r="AR93" s="1" t="s">
        <v>394</v>
      </c>
      <c r="AS93" s="1" t="s">
        <v>377</v>
      </c>
      <c r="AT93" s="1" t="s">
        <v>377</v>
      </c>
      <c r="AU93" s="1" t="s">
        <v>377</v>
      </c>
      <c r="AV93" s="1" t="s">
        <v>377</v>
      </c>
      <c r="AW93" s="1" t="s">
        <v>394</v>
      </c>
      <c r="AX93" s="1" t="s">
        <v>378</v>
      </c>
      <c r="AY93" s="1" t="s">
        <v>394</v>
      </c>
      <c r="AZ93" s="1" t="s">
        <v>394</v>
      </c>
      <c r="BA93" s="1" t="s">
        <v>825</v>
      </c>
      <c r="BB93" s="1" t="s">
        <v>377</v>
      </c>
      <c r="BC93" s="1" t="s">
        <v>377</v>
      </c>
      <c r="BD93" s="1" t="s">
        <v>377</v>
      </c>
      <c r="BE93" s="1" t="s">
        <v>377</v>
      </c>
      <c r="BF93" s="1" t="s">
        <v>377</v>
      </c>
      <c r="BH93" s="1" t="s">
        <v>785</v>
      </c>
      <c r="BI93" s="1" t="s">
        <v>394</v>
      </c>
      <c r="BJ93" s="1" t="s">
        <v>394</v>
      </c>
      <c r="BK93" s="1" t="s">
        <v>394</v>
      </c>
    </row>
    <row r="94" spans="1:63" x14ac:dyDescent="0.25">
      <c r="A94" s="1">
        <v>93</v>
      </c>
      <c r="B94" s="1" t="s">
        <v>160</v>
      </c>
      <c r="C94" s="1" t="s">
        <v>578</v>
      </c>
      <c r="D94" s="1" t="s">
        <v>44</v>
      </c>
      <c r="E94" s="1" t="s">
        <v>43</v>
      </c>
      <c r="F94" s="1" t="s">
        <v>581</v>
      </c>
      <c r="G94" s="1" t="s">
        <v>56</v>
      </c>
      <c r="H94" s="1">
        <v>2023</v>
      </c>
      <c r="I94" s="1" t="s">
        <v>212</v>
      </c>
      <c r="J94" s="1" t="s">
        <v>51</v>
      </c>
      <c r="K94" s="1">
        <v>974</v>
      </c>
      <c r="L94" s="1" t="s">
        <v>475</v>
      </c>
      <c r="M94" s="1">
        <v>26</v>
      </c>
      <c r="N94" s="1" t="s">
        <v>466</v>
      </c>
      <c r="O94" s="1" t="s">
        <v>44</v>
      </c>
      <c r="P94" s="1" t="s">
        <v>20</v>
      </c>
      <c r="Q94" s="1" t="s">
        <v>466</v>
      </c>
      <c r="R94" s="1" t="s">
        <v>759</v>
      </c>
      <c r="S94" s="1" t="s">
        <v>21</v>
      </c>
      <c r="T94" s="1" t="s">
        <v>43</v>
      </c>
      <c r="U94" s="1" t="s">
        <v>579</v>
      </c>
      <c r="V94" s="1" t="s">
        <v>580</v>
      </c>
      <c r="W94" s="1" t="s">
        <v>377</v>
      </c>
      <c r="X94" s="1" t="s">
        <v>394</v>
      </c>
      <c r="Y94" s="1" t="s">
        <v>394</v>
      </c>
      <c r="Z94" s="1" t="s">
        <v>394</v>
      </c>
      <c r="AA94" s="1" t="s">
        <v>394</v>
      </c>
      <c r="AB94" s="3" t="s">
        <v>394</v>
      </c>
      <c r="AC94" s="1" t="str">
        <f t="shared" si="2"/>
        <v>No</v>
      </c>
      <c r="AD94" s="1" t="s">
        <v>394</v>
      </c>
      <c r="AE94" s="1" t="s">
        <v>394</v>
      </c>
      <c r="AF94" s="1" t="s">
        <v>394</v>
      </c>
      <c r="AG94" s="1" t="s">
        <v>377</v>
      </c>
      <c r="AH94" s="1" t="s">
        <v>394</v>
      </c>
      <c r="AI94" s="1" t="s">
        <v>394</v>
      </c>
      <c r="AJ94" s="1" t="s">
        <v>394</v>
      </c>
      <c r="AK94" s="1" t="s">
        <v>394</v>
      </c>
      <c r="AL94" s="1" t="s">
        <v>394</v>
      </c>
      <c r="AM94" s="1" t="str">
        <f t="shared" si="3"/>
        <v>OK</v>
      </c>
      <c r="AN94" s="1" t="s">
        <v>383</v>
      </c>
      <c r="AO94" s="1" t="s">
        <v>387</v>
      </c>
      <c r="AP94" s="1" t="s">
        <v>394</v>
      </c>
      <c r="AQ94" s="1" t="s">
        <v>394</v>
      </c>
      <c r="AR94" s="1" t="s">
        <v>394</v>
      </c>
      <c r="AS94" s="1" t="s">
        <v>377</v>
      </c>
      <c r="AT94" s="1" t="s">
        <v>377</v>
      </c>
      <c r="AU94" s="1" t="s">
        <v>378</v>
      </c>
      <c r="AV94" s="1" t="s">
        <v>377</v>
      </c>
      <c r="AW94" s="1" t="s">
        <v>377</v>
      </c>
      <c r="AX94" s="1" t="s">
        <v>377</v>
      </c>
      <c r="AY94" s="1" t="s">
        <v>394</v>
      </c>
      <c r="AZ94" s="1" t="s">
        <v>377</v>
      </c>
      <c r="BA94" s="1" t="s">
        <v>377</v>
      </c>
      <c r="BB94" s="1" t="s">
        <v>377</v>
      </c>
      <c r="BC94" s="1" t="s">
        <v>377</v>
      </c>
      <c r="BD94" s="1" t="s">
        <v>377</v>
      </c>
      <c r="BE94" s="1" t="s">
        <v>377</v>
      </c>
      <c r="BF94" s="1" t="s">
        <v>377</v>
      </c>
      <c r="BH94" s="1" t="s">
        <v>785</v>
      </c>
      <c r="BI94" s="1" t="s">
        <v>394</v>
      </c>
      <c r="BJ94" s="1" t="s">
        <v>394</v>
      </c>
      <c r="BK94" s="1" t="s">
        <v>394</v>
      </c>
    </row>
    <row r="95" spans="1:63" x14ac:dyDescent="0.25">
      <c r="A95" s="1">
        <v>94</v>
      </c>
      <c r="B95" s="1" t="s">
        <v>161</v>
      </c>
      <c r="C95" s="1" t="s">
        <v>584</v>
      </c>
      <c r="D95" s="1" t="s">
        <v>44</v>
      </c>
      <c r="E95" s="1" t="s">
        <v>8</v>
      </c>
      <c r="F95" s="1" t="s">
        <v>585</v>
      </c>
      <c r="G95" s="1" t="s">
        <v>217</v>
      </c>
      <c r="H95" s="1">
        <v>2022</v>
      </c>
      <c r="I95" s="1" t="s">
        <v>223</v>
      </c>
      <c r="J95" s="1" t="s">
        <v>51</v>
      </c>
      <c r="K95" s="1">
        <v>270</v>
      </c>
      <c r="L95" s="1" t="s">
        <v>583</v>
      </c>
      <c r="M95" s="1" t="s">
        <v>586</v>
      </c>
      <c r="N95" s="1" t="s">
        <v>809</v>
      </c>
      <c r="O95" s="1" t="s">
        <v>582</v>
      </c>
      <c r="P95" s="1" t="s">
        <v>20</v>
      </c>
      <c r="Q95" s="1" t="s">
        <v>20</v>
      </c>
      <c r="R95" s="1" t="s">
        <v>47</v>
      </c>
      <c r="S95" s="1" t="s">
        <v>57</v>
      </c>
      <c r="T95" s="1" t="s">
        <v>43</v>
      </c>
      <c r="U95" s="1" t="s">
        <v>41</v>
      </c>
      <c r="V95" s="1" t="s">
        <v>44</v>
      </c>
      <c r="W95" s="1" t="s">
        <v>377</v>
      </c>
      <c r="X95" s="1" t="s">
        <v>377</v>
      </c>
      <c r="Y95" s="1" t="s">
        <v>394</v>
      </c>
      <c r="Z95" s="1" t="s">
        <v>377</v>
      </c>
      <c r="AA95" s="1" t="s">
        <v>394</v>
      </c>
      <c r="AB95" s="3" t="s">
        <v>394</v>
      </c>
      <c r="AC95" s="1" t="str">
        <f t="shared" si="2"/>
        <v>Yes</v>
      </c>
      <c r="AD95" s="1" t="s">
        <v>394</v>
      </c>
      <c r="AE95" s="1" t="s">
        <v>394</v>
      </c>
      <c r="AF95" s="1" t="s">
        <v>394</v>
      </c>
      <c r="AG95" s="1" t="s">
        <v>394</v>
      </c>
      <c r="AH95" s="1" t="s">
        <v>394</v>
      </c>
      <c r="AI95" s="1" t="s">
        <v>394</v>
      </c>
      <c r="AJ95" s="1" t="s">
        <v>394</v>
      </c>
      <c r="AK95" s="1" t="s">
        <v>394</v>
      </c>
      <c r="AL95" s="1" t="s">
        <v>394</v>
      </c>
      <c r="AM95" s="1" t="str">
        <f t="shared" si="3"/>
        <v>OK</v>
      </c>
      <c r="AN95" s="1" t="s">
        <v>383</v>
      </c>
      <c r="AO95" s="1" t="s">
        <v>384</v>
      </c>
      <c r="AP95" s="1" t="s">
        <v>394</v>
      </c>
      <c r="AQ95" s="1" t="s">
        <v>394</v>
      </c>
      <c r="AR95" s="1" t="s">
        <v>394</v>
      </c>
      <c r="AS95" s="1" t="s">
        <v>377</v>
      </c>
      <c r="AT95" s="1" t="s">
        <v>377</v>
      </c>
      <c r="AU95" s="1" t="s">
        <v>394</v>
      </c>
      <c r="AV95" s="1" t="s">
        <v>377</v>
      </c>
      <c r="AW95" s="1" t="s">
        <v>394</v>
      </c>
      <c r="AX95" s="1" t="s">
        <v>378</v>
      </c>
      <c r="AY95" s="1" t="s">
        <v>394</v>
      </c>
      <c r="AZ95" s="1" t="s">
        <v>394</v>
      </c>
      <c r="BA95" s="1" t="s">
        <v>825</v>
      </c>
      <c r="BB95" s="1" t="s">
        <v>377</v>
      </c>
      <c r="BC95" s="1" t="s">
        <v>377</v>
      </c>
      <c r="BD95" s="1" t="s">
        <v>377</v>
      </c>
      <c r="BE95" s="1" t="s">
        <v>377</v>
      </c>
      <c r="BF95" s="1" t="s">
        <v>377</v>
      </c>
      <c r="BH95" s="1" t="s">
        <v>785</v>
      </c>
      <c r="BI95" s="1" t="s">
        <v>394</v>
      </c>
      <c r="BJ95" s="1" t="s">
        <v>394</v>
      </c>
      <c r="BK95" s="1" t="s">
        <v>377</v>
      </c>
    </row>
    <row r="96" spans="1:63" x14ac:dyDescent="0.25">
      <c r="A96" s="1">
        <v>95</v>
      </c>
      <c r="B96" s="1" t="s">
        <v>162</v>
      </c>
      <c r="C96" s="1" t="s">
        <v>590</v>
      </c>
      <c r="D96" s="1" t="s">
        <v>591</v>
      </c>
      <c r="E96" s="1" t="s">
        <v>8</v>
      </c>
      <c r="F96" s="1" t="s">
        <v>589</v>
      </c>
      <c r="G96" s="1" t="s">
        <v>56</v>
      </c>
      <c r="H96" s="1">
        <v>2023</v>
      </c>
      <c r="I96" s="1" t="s">
        <v>458</v>
      </c>
      <c r="J96" s="1" t="s">
        <v>51</v>
      </c>
      <c r="K96" s="1">
        <v>287</v>
      </c>
      <c r="L96" s="1" t="s">
        <v>475</v>
      </c>
      <c r="M96" s="1" t="s">
        <v>587</v>
      </c>
      <c r="N96" s="1" t="s">
        <v>466</v>
      </c>
      <c r="O96" s="1" t="s">
        <v>44</v>
      </c>
      <c r="P96" s="1" t="s">
        <v>20</v>
      </c>
      <c r="Q96" s="1" t="s">
        <v>466</v>
      </c>
      <c r="R96" s="1" t="s">
        <v>47</v>
      </c>
      <c r="S96" s="1" t="s">
        <v>21</v>
      </c>
      <c r="T96" s="1" t="s">
        <v>43</v>
      </c>
      <c r="U96" s="1" t="s">
        <v>588</v>
      </c>
      <c r="V96" s="1" t="s">
        <v>44</v>
      </c>
      <c r="W96" s="1" t="s">
        <v>394</v>
      </c>
      <c r="X96" s="1" t="s">
        <v>377</v>
      </c>
      <c r="Y96" s="1" t="s">
        <v>394</v>
      </c>
      <c r="Z96" s="1" t="s">
        <v>394</v>
      </c>
      <c r="AA96" s="1" t="s">
        <v>394</v>
      </c>
      <c r="AB96" s="3" t="s">
        <v>394</v>
      </c>
      <c r="AC96" s="1" t="str">
        <f t="shared" si="2"/>
        <v>No</v>
      </c>
      <c r="AD96" s="1" t="s">
        <v>394</v>
      </c>
      <c r="AE96" s="1" t="s">
        <v>394</v>
      </c>
      <c r="AF96" s="1" t="s">
        <v>394</v>
      </c>
      <c r="AG96" s="1" t="s">
        <v>394</v>
      </c>
      <c r="AH96" s="1" t="s">
        <v>394</v>
      </c>
      <c r="AI96" s="1" t="s">
        <v>394</v>
      </c>
      <c r="AJ96" s="1" t="s">
        <v>394</v>
      </c>
      <c r="AK96" s="1" t="s">
        <v>394</v>
      </c>
      <c r="AL96" s="1" t="s">
        <v>394</v>
      </c>
      <c r="AM96" s="1" t="str">
        <f t="shared" si="3"/>
        <v>OK</v>
      </c>
      <c r="AN96" s="1" t="s">
        <v>383</v>
      </c>
      <c r="AO96" s="1" t="s">
        <v>808</v>
      </c>
      <c r="AP96" s="1" t="s">
        <v>377</v>
      </c>
      <c r="AQ96" s="1" t="s">
        <v>394</v>
      </c>
      <c r="AR96" s="1" t="s">
        <v>394</v>
      </c>
      <c r="AS96" s="1" t="s">
        <v>377</v>
      </c>
      <c r="AT96" s="1" t="s">
        <v>377</v>
      </c>
      <c r="AU96" s="1" t="s">
        <v>394</v>
      </c>
      <c r="AV96" s="1" t="s">
        <v>377</v>
      </c>
      <c r="AW96" s="1" t="s">
        <v>394</v>
      </c>
      <c r="AX96" s="1" t="s">
        <v>394</v>
      </c>
      <c r="AY96" s="1" t="s">
        <v>394</v>
      </c>
      <c r="AZ96" s="1" t="s">
        <v>394</v>
      </c>
      <c r="BA96" s="1" t="s">
        <v>394</v>
      </c>
      <c r="BB96" s="1" t="s">
        <v>377</v>
      </c>
      <c r="BC96" s="1" t="s">
        <v>394</v>
      </c>
      <c r="BD96" s="1" t="s">
        <v>394</v>
      </c>
      <c r="BE96" s="1" t="s">
        <v>394</v>
      </c>
      <c r="BF96" s="1" t="s">
        <v>394</v>
      </c>
      <c r="BH96" s="1" t="s">
        <v>785</v>
      </c>
      <c r="BI96" s="1" t="s">
        <v>394</v>
      </c>
      <c r="BJ96" s="1" t="s">
        <v>394</v>
      </c>
      <c r="BK96" s="1" t="s">
        <v>394</v>
      </c>
    </row>
    <row r="97" spans="1:63" x14ac:dyDescent="0.25">
      <c r="A97" s="1">
        <v>96</v>
      </c>
      <c r="B97" s="1" t="s">
        <v>163</v>
      </c>
      <c r="C97" s="1" t="s">
        <v>592</v>
      </c>
      <c r="D97" s="1" t="s">
        <v>44</v>
      </c>
      <c r="E97" s="1" t="s">
        <v>8</v>
      </c>
      <c r="F97" s="1" t="s">
        <v>593</v>
      </c>
      <c r="G97" s="1" t="s">
        <v>486</v>
      </c>
      <c r="H97" s="1">
        <v>2019</v>
      </c>
      <c r="I97" s="1" t="s">
        <v>219</v>
      </c>
      <c r="J97" s="1" t="s">
        <v>51</v>
      </c>
      <c r="K97" s="1">
        <v>784</v>
      </c>
      <c r="L97" s="1" t="s">
        <v>594</v>
      </c>
      <c r="M97" s="1" t="s">
        <v>47</v>
      </c>
      <c r="N97" s="1" t="s">
        <v>252</v>
      </c>
      <c r="O97" s="1" t="s">
        <v>44</v>
      </c>
      <c r="P97" s="1" t="s">
        <v>20</v>
      </c>
      <c r="Q97" s="1" t="s">
        <v>22</v>
      </c>
      <c r="R97" s="1" t="s">
        <v>47</v>
      </c>
      <c r="S97" s="1" t="s">
        <v>21</v>
      </c>
      <c r="T97" s="1" t="s">
        <v>43</v>
      </c>
      <c r="U97" s="1" t="s">
        <v>595</v>
      </c>
      <c r="V97" s="1" t="s">
        <v>44</v>
      </c>
      <c r="W97" s="1" t="s">
        <v>394</v>
      </c>
      <c r="X97" s="1" t="s">
        <v>394</v>
      </c>
      <c r="Y97" s="1" t="s">
        <v>394</v>
      </c>
      <c r="Z97" s="1" t="s">
        <v>394</v>
      </c>
      <c r="AA97" s="1" t="s">
        <v>394</v>
      </c>
      <c r="AB97" s="3" t="s">
        <v>394</v>
      </c>
      <c r="AC97" s="1" t="str">
        <f t="shared" si="2"/>
        <v>No</v>
      </c>
      <c r="AD97" s="1" t="s">
        <v>394</v>
      </c>
      <c r="AE97" s="1" t="s">
        <v>394</v>
      </c>
      <c r="AF97" s="1" t="s">
        <v>394</v>
      </c>
      <c r="AG97" s="1" t="s">
        <v>394</v>
      </c>
      <c r="AH97" s="1" t="s">
        <v>394</v>
      </c>
      <c r="AI97" s="1" t="s">
        <v>394</v>
      </c>
      <c r="AJ97" s="1" t="s">
        <v>377</v>
      </c>
      <c r="AK97" s="1" t="s">
        <v>377</v>
      </c>
      <c r="AL97" s="1" t="s">
        <v>394</v>
      </c>
      <c r="AM97" s="1" t="str">
        <f t="shared" si="3"/>
        <v>OK</v>
      </c>
      <c r="AN97" s="1" t="s">
        <v>383</v>
      </c>
      <c r="AO97" s="1" t="s">
        <v>396</v>
      </c>
      <c r="AP97" s="1" t="s">
        <v>394</v>
      </c>
      <c r="AQ97" s="1" t="s">
        <v>377</v>
      </c>
      <c r="AR97" s="1" t="s">
        <v>394</v>
      </c>
      <c r="AS97" s="1" t="s">
        <v>377</v>
      </c>
      <c r="AT97" s="1" t="s">
        <v>377</v>
      </c>
      <c r="AU97" s="1" t="s">
        <v>377</v>
      </c>
      <c r="AV97" s="1" t="s">
        <v>377</v>
      </c>
      <c r="AW97" s="1" t="s">
        <v>378</v>
      </c>
      <c r="AX97" s="1" t="s">
        <v>394</v>
      </c>
      <c r="AY97" s="1" t="s">
        <v>394</v>
      </c>
      <c r="AZ97" s="1" t="s">
        <v>394</v>
      </c>
      <c r="BA97" s="1" t="s">
        <v>394</v>
      </c>
      <c r="BB97" s="1" t="s">
        <v>377</v>
      </c>
      <c r="BC97" s="1" t="s">
        <v>394</v>
      </c>
      <c r="BD97" s="1" t="s">
        <v>394</v>
      </c>
      <c r="BE97" s="1" t="s">
        <v>394</v>
      </c>
      <c r="BF97" s="1" t="s">
        <v>394</v>
      </c>
      <c r="BH97" s="1" t="s">
        <v>785</v>
      </c>
      <c r="BI97" s="1" t="s">
        <v>394</v>
      </c>
      <c r="BJ97" s="1" t="s">
        <v>394</v>
      </c>
      <c r="BK97" s="1" t="s">
        <v>394</v>
      </c>
    </row>
    <row r="98" spans="1:63" x14ac:dyDescent="0.25">
      <c r="A98" s="1">
        <v>97</v>
      </c>
      <c r="B98" s="1" t="s">
        <v>164</v>
      </c>
      <c r="C98" s="1" t="s">
        <v>597</v>
      </c>
      <c r="D98" s="1" t="s">
        <v>598</v>
      </c>
      <c r="E98" s="1" t="s">
        <v>8</v>
      </c>
      <c r="F98" s="1" t="s">
        <v>291</v>
      </c>
      <c r="G98" s="1" t="s">
        <v>288</v>
      </c>
      <c r="H98" s="1">
        <v>2020</v>
      </c>
      <c r="I98" s="1" t="s">
        <v>34</v>
      </c>
      <c r="J98" s="1" t="s">
        <v>51</v>
      </c>
      <c r="K98" s="1">
        <v>7402</v>
      </c>
      <c r="L98" s="1" t="s">
        <v>475</v>
      </c>
      <c r="M98" s="1" t="s">
        <v>596</v>
      </c>
      <c r="N98" s="1" t="s">
        <v>466</v>
      </c>
      <c r="O98" s="1" t="s">
        <v>44</v>
      </c>
      <c r="P98" s="1" t="s">
        <v>20</v>
      </c>
      <c r="Q98" s="1" t="s">
        <v>466</v>
      </c>
      <c r="R98" s="1" t="s">
        <v>495</v>
      </c>
      <c r="S98" s="1" t="s">
        <v>57</v>
      </c>
      <c r="T98" s="1" t="s">
        <v>43</v>
      </c>
      <c r="U98" s="1" t="s">
        <v>511</v>
      </c>
      <c r="V98" s="1" t="s">
        <v>44</v>
      </c>
      <c r="W98" s="1" t="s">
        <v>377</v>
      </c>
      <c r="X98" s="1" t="s">
        <v>377</v>
      </c>
      <c r="Y98" s="1" t="s">
        <v>394</v>
      </c>
      <c r="Z98" s="1" t="s">
        <v>394</v>
      </c>
      <c r="AA98" s="1" t="s">
        <v>394</v>
      </c>
      <c r="AB98" s="3" t="s">
        <v>394</v>
      </c>
      <c r="AC98" s="1" t="str">
        <f t="shared" si="2"/>
        <v>No</v>
      </c>
      <c r="AD98" s="1" t="s">
        <v>394</v>
      </c>
      <c r="AE98" s="1" t="s">
        <v>394</v>
      </c>
      <c r="AF98" s="1" t="s">
        <v>394</v>
      </c>
      <c r="AG98" s="1" t="s">
        <v>394</v>
      </c>
      <c r="AH98" s="1" t="s">
        <v>394</v>
      </c>
      <c r="AI98" s="1" t="s">
        <v>394</v>
      </c>
      <c r="AJ98" s="1" t="s">
        <v>394</v>
      </c>
      <c r="AK98" s="1" t="s">
        <v>394</v>
      </c>
      <c r="AL98" s="1" t="s">
        <v>394</v>
      </c>
      <c r="AM98" s="1" t="str">
        <f t="shared" si="3"/>
        <v>OK</v>
      </c>
      <c r="AN98" s="1" t="s">
        <v>383</v>
      </c>
      <c r="AO98" s="1" t="s">
        <v>384</v>
      </c>
      <c r="AP98" s="1" t="s">
        <v>394</v>
      </c>
      <c r="AQ98" s="1" t="s">
        <v>394</v>
      </c>
      <c r="AR98" s="1" t="s">
        <v>394</v>
      </c>
      <c r="AS98" s="1" t="s">
        <v>377</v>
      </c>
      <c r="AT98" s="1" t="s">
        <v>377</v>
      </c>
      <c r="AU98" s="1" t="s">
        <v>394</v>
      </c>
      <c r="AV98" s="1" t="s">
        <v>377</v>
      </c>
      <c r="AW98" s="1" t="s">
        <v>377</v>
      </c>
      <c r="AX98" s="1" t="s">
        <v>377</v>
      </c>
      <c r="AY98" s="1" t="s">
        <v>377</v>
      </c>
      <c r="AZ98" s="1" t="s">
        <v>394</v>
      </c>
      <c r="BA98" s="1" t="s">
        <v>825</v>
      </c>
      <c r="BB98" s="1" t="s">
        <v>377</v>
      </c>
      <c r="BC98" s="1" t="s">
        <v>825</v>
      </c>
      <c r="BD98" s="1" t="s">
        <v>825</v>
      </c>
      <c r="BE98" s="1" t="s">
        <v>377</v>
      </c>
      <c r="BF98" s="1" t="s">
        <v>377</v>
      </c>
      <c r="BH98" s="1" t="s">
        <v>785</v>
      </c>
      <c r="BI98" s="1" t="s">
        <v>394</v>
      </c>
      <c r="BJ98" s="1" t="s">
        <v>394</v>
      </c>
      <c r="BK98" s="1" t="s">
        <v>394</v>
      </c>
    </row>
    <row r="99" spans="1:63" x14ac:dyDescent="0.25">
      <c r="A99" s="1">
        <v>98</v>
      </c>
      <c r="B99" s="1" t="s">
        <v>165</v>
      </c>
      <c r="C99" s="1" t="s">
        <v>604</v>
      </c>
      <c r="D99" s="1" t="s">
        <v>44</v>
      </c>
      <c r="E99" s="1" t="s">
        <v>8</v>
      </c>
      <c r="F99" s="1" t="s">
        <v>603</v>
      </c>
      <c r="G99" s="1" t="s">
        <v>56</v>
      </c>
      <c r="H99" s="1">
        <v>2023</v>
      </c>
      <c r="I99" s="1" t="s">
        <v>219</v>
      </c>
      <c r="J99" s="1" t="s">
        <v>51</v>
      </c>
      <c r="K99" s="1">
        <v>191</v>
      </c>
      <c r="L99" s="1" t="s">
        <v>599</v>
      </c>
      <c r="M99" s="1" t="s">
        <v>601</v>
      </c>
      <c r="N99" s="1" t="s">
        <v>821</v>
      </c>
      <c r="O99" s="1" t="s">
        <v>600</v>
      </c>
      <c r="P99" s="1" t="s">
        <v>20</v>
      </c>
      <c r="Q99" s="1" t="s">
        <v>20</v>
      </c>
      <c r="R99" s="1" t="s">
        <v>47</v>
      </c>
      <c r="S99" s="1" t="s">
        <v>57</v>
      </c>
      <c r="T99" s="1" t="s">
        <v>43</v>
      </c>
      <c r="U99" s="1" t="s">
        <v>511</v>
      </c>
      <c r="V99" s="1" t="s">
        <v>44</v>
      </c>
      <c r="W99" s="1" t="s">
        <v>377</v>
      </c>
      <c r="X99" s="1" t="s">
        <v>377</v>
      </c>
      <c r="Y99" s="1" t="s">
        <v>394</v>
      </c>
      <c r="Z99" s="1" t="s">
        <v>394</v>
      </c>
      <c r="AA99" s="1" t="s">
        <v>394</v>
      </c>
      <c r="AB99" s="3" t="s">
        <v>394</v>
      </c>
      <c r="AC99" s="1" t="str">
        <f t="shared" si="2"/>
        <v>No</v>
      </c>
      <c r="AD99" s="1" t="s">
        <v>394</v>
      </c>
      <c r="AE99" s="1" t="s">
        <v>394</v>
      </c>
      <c r="AF99" s="1" t="s">
        <v>394</v>
      </c>
      <c r="AG99" s="1" t="s">
        <v>394</v>
      </c>
      <c r="AH99" s="1" t="s">
        <v>394</v>
      </c>
      <c r="AI99" s="1" t="s">
        <v>394</v>
      </c>
      <c r="AJ99" s="1" t="s">
        <v>394</v>
      </c>
      <c r="AK99" s="1" t="s">
        <v>394</v>
      </c>
      <c r="AL99" s="1" t="s">
        <v>394</v>
      </c>
      <c r="AM99" s="1" t="str">
        <f t="shared" si="3"/>
        <v>OK</v>
      </c>
      <c r="AN99" s="1" t="s">
        <v>383</v>
      </c>
      <c r="AO99" s="1" t="s">
        <v>804</v>
      </c>
      <c r="AP99" s="1" t="s">
        <v>394</v>
      </c>
      <c r="AQ99" s="1" t="s">
        <v>394</v>
      </c>
      <c r="AR99" s="1" t="s">
        <v>394</v>
      </c>
      <c r="AS99" s="1" t="s">
        <v>377</v>
      </c>
      <c r="AT99" s="1" t="s">
        <v>377</v>
      </c>
      <c r="AU99" s="1" t="s">
        <v>377</v>
      </c>
      <c r="AV99" s="1" t="s">
        <v>377</v>
      </c>
      <c r="AW99" s="1" t="s">
        <v>394</v>
      </c>
      <c r="AX99" s="1" t="s">
        <v>377</v>
      </c>
      <c r="AY99" s="1" t="s">
        <v>394</v>
      </c>
      <c r="AZ99" s="1" t="s">
        <v>394</v>
      </c>
      <c r="BA99" s="1" t="s">
        <v>394</v>
      </c>
      <c r="BB99" s="1" t="s">
        <v>377</v>
      </c>
      <c r="BC99" s="1" t="s">
        <v>377</v>
      </c>
      <c r="BD99" s="1" t="s">
        <v>377</v>
      </c>
      <c r="BE99" s="1" t="s">
        <v>378</v>
      </c>
      <c r="BF99" s="1" t="s">
        <v>377</v>
      </c>
      <c r="BH99" s="1" t="s">
        <v>785</v>
      </c>
      <c r="BI99" s="1" t="s">
        <v>394</v>
      </c>
      <c r="BJ99" s="1" t="s">
        <v>394</v>
      </c>
      <c r="BK99" s="1" t="s">
        <v>394</v>
      </c>
    </row>
    <row r="100" spans="1:63" x14ac:dyDescent="0.25">
      <c r="A100" s="1">
        <v>99</v>
      </c>
      <c r="B100" s="1" t="s">
        <v>166</v>
      </c>
      <c r="C100" s="1" t="s">
        <v>608</v>
      </c>
      <c r="D100" s="1" t="s">
        <v>44</v>
      </c>
      <c r="E100" s="1" t="s">
        <v>8</v>
      </c>
      <c r="F100" s="1" t="s">
        <v>607</v>
      </c>
      <c r="G100" s="1" t="s">
        <v>48</v>
      </c>
      <c r="H100" s="1">
        <v>2020</v>
      </c>
      <c r="I100" s="1" t="s">
        <v>212</v>
      </c>
      <c r="J100" s="1" t="s">
        <v>51</v>
      </c>
      <c r="K100" s="1">
        <v>149</v>
      </c>
      <c r="L100" s="1" t="s">
        <v>351</v>
      </c>
      <c r="M100" s="1" t="s">
        <v>47</v>
      </c>
      <c r="N100" s="1" t="s">
        <v>350</v>
      </c>
      <c r="O100" s="1" t="s">
        <v>44</v>
      </c>
      <c r="P100" s="1" t="s">
        <v>230</v>
      </c>
      <c r="Q100" s="1" t="s">
        <v>518</v>
      </c>
      <c r="R100" s="1" t="s">
        <v>606</v>
      </c>
      <c r="S100" s="1" t="s">
        <v>57</v>
      </c>
      <c r="T100" s="1" t="s">
        <v>43</v>
      </c>
      <c r="U100" s="1" t="s">
        <v>605</v>
      </c>
      <c r="V100" s="1" t="s">
        <v>44</v>
      </c>
      <c r="W100" s="1" t="s">
        <v>377</v>
      </c>
      <c r="X100" s="1" t="s">
        <v>377</v>
      </c>
      <c r="Y100" s="1" t="s">
        <v>394</v>
      </c>
      <c r="Z100" s="1" t="s">
        <v>377</v>
      </c>
      <c r="AA100" s="1" t="s">
        <v>394</v>
      </c>
      <c r="AB100" s="3" t="s">
        <v>394</v>
      </c>
      <c r="AC100" s="1" t="str">
        <f t="shared" si="2"/>
        <v>Yes</v>
      </c>
      <c r="AD100" s="1" t="s">
        <v>394</v>
      </c>
      <c r="AE100" s="1" t="s">
        <v>394</v>
      </c>
      <c r="AF100" s="1" t="s">
        <v>394</v>
      </c>
      <c r="AG100" s="1" t="s">
        <v>394</v>
      </c>
      <c r="AH100" s="1" t="s">
        <v>394</v>
      </c>
      <c r="AI100" s="1" t="s">
        <v>394</v>
      </c>
      <c r="AJ100" s="1" t="s">
        <v>394</v>
      </c>
      <c r="AK100" s="1" t="s">
        <v>394</v>
      </c>
      <c r="AL100" s="1" t="s">
        <v>394</v>
      </c>
      <c r="AM100" s="1" t="str">
        <f t="shared" si="3"/>
        <v>OK</v>
      </c>
      <c r="AN100" s="1" t="s">
        <v>383</v>
      </c>
      <c r="AO100" s="1" t="s">
        <v>384</v>
      </c>
      <c r="AP100" s="1" t="s">
        <v>394</v>
      </c>
      <c r="AQ100" s="1" t="s">
        <v>394</v>
      </c>
      <c r="AR100" s="1" t="s">
        <v>394</v>
      </c>
      <c r="AS100" s="1" t="s">
        <v>377</v>
      </c>
      <c r="AT100" s="1" t="s">
        <v>377</v>
      </c>
      <c r="AU100" s="1" t="s">
        <v>377</v>
      </c>
      <c r="AV100" s="1" t="s">
        <v>377</v>
      </c>
      <c r="AW100" s="1" t="s">
        <v>377</v>
      </c>
      <c r="AX100" s="1" t="s">
        <v>378</v>
      </c>
      <c r="AY100" s="1" t="s">
        <v>394</v>
      </c>
      <c r="AZ100" s="1" t="s">
        <v>377</v>
      </c>
      <c r="BA100" s="1" t="s">
        <v>377</v>
      </c>
      <c r="BB100" s="1" t="s">
        <v>377</v>
      </c>
      <c r="BC100" s="1" t="s">
        <v>377</v>
      </c>
      <c r="BD100" s="1" t="s">
        <v>377</v>
      </c>
      <c r="BE100" s="1" t="s">
        <v>377</v>
      </c>
      <c r="BF100" s="1" t="s">
        <v>377</v>
      </c>
      <c r="BH100" s="1" t="s">
        <v>785</v>
      </c>
      <c r="BI100" s="1" t="s">
        <v>394</v>
      </c>
      <c r="BJ100" s="1" t="s">
        <v>394</v>
      </c>
      <c r="BK100" s="1" t="s">
        <v>394</v>
      </c>
    </row>
    <row r="101" spans="1:63" x14ac:dyDescent="0.25">
      <c r="A101" s="1">
        <v>100</v>
      </c>
      <c r="B101" s="1" t="s">
        <v>167</v>
      </c>
      <c r="C101" s="1" t="s">
        <v>614</v>
      </c>
      <c r="D101" s="1" t="s">
        <v>44</v>
      </c>
      <c r="E101" s="1" t="s">
        <v>8</v>
      </c>
      <c r="F101" s="1" t="s">
        <v>613</v>
      </c>
      <c r="G101" s="1" t="s">
        <v>417</v>
      </c>
      <c r="H101" s="1">
        <v>2018</v>
      </c>
      <c r="I101" s="1" t="s">
        <v>30</v>
      </c>
      <c r="J101" s="1" t="s">
        <v>51</v>
      </c>
      <c r="K101" s="1">
        <v>132</v>
      </c>
      <c r="L101" s="1" t="s">
        <v>612</v>
      </c>
      <c r="M101" s="1" t="s">
        <v>609</v>
      </c>
      <c r="N101" s="1" t="s">
        <v>241</v>
      </c>
      <c r="O101" s="1" t="s">
        <v>44</v>
      </c>
      <c r="P101" s="1" t="s">
        <v>230</v>
      </c>
      <c r="Q101" s="1" t="s">
        <v>518</v>
      </c>
      <c r="R101" s="1" t="s">
        <v>610</v>
      </c>
      <c r="S101" s="1" t="s">
        <v>57</v>
      </c>
      <c r="T101" s="1" t="s">
        <v>43</v>
      </c>
      <c r="U101" s="1" t="s">
        <v>611</v>
      </c>
      <c r="V101" s="1" t="s">
        <v>44</v>
      </c>
      <c r="W101" s="1" t="s">
        <v>394</v>
      </c>
      <c r="X101" s="1" t="s">
        <v>394</v>
      </c>
      <c r="Y101" s="1" t="s">
        <v>394</v>
      </c>
      <c r="Z101" s="1" t="s">
        <v>377</v>
      </c>
      <c r="AA101" s="1" t="s">
        <v>394</v>
      </c>
      <c r="AB101" s="3" t="s">
        <v>394</v>
      </c>
      <c r="AC101" s="1" t="str">
        <f t="shared" si="2"/>
        <v>Yes</v>
      </c>
      <c r="AD101" s="1" t="s">
        <v>394</v>
      </c>
      <c r="AE101" s="1" t="s">
        <v>394</v>
      </c>
      <c r="AF101" s="1" t="s">
        <v>394</v>
      </c>
      <c r="AG101" s="1" t="s">
        <v>394</v>
      </c>
      <c r="AH101" s="1" t="s">
        <v>394</v>
      </c>
      <c r="AI101" s="1" t="s">
        <v>394</v>
      </c>
      <c r="AJ101" s="1" t="s">
        <v>394</v>
      </c>
      <c r="AK101" s="1" t="s">
        <v>394</v>
      </c>
      <c r="AL101" s="1" t="s">
        <v>394</v>
      </c>
      <c r="AM101" s="1" t="str">
        <f t="shared" si="3"/>
        <v>OK</v>
      </c>
      <c r="AN101" s="1" t="s">
        <v>383</v>
      </c>
      <c r="AO101" s="1" t="s">
        <v>384</v>
      </c>
      <c r="AP101" s="1" t="s">
        <v>394</v>
      </c>
      <c r="AQ101" s="1" t="s">
        <v>394</v>
      </c>
      <c r="AR101" s="1" t="s">
        <v>394</v>
      </c>
      <c r="AS101" s="1" t="s">
        <v>377</v>
      </c>
      <c r="AT101" s="1" t="s">
        <v>377</v>
      </c>
      <c r="AU101" s="1" t="s">
        <v>394</v>
      </c>
      <c r="AV101" s="1" t="s">
        <v>377</v>
      </c>
      <c r="AW101" s="1" t="s">
        <v>378</v>
      </c>
      <c r="AX101" s="1" t="s">
        <v>377</v>
      </c>
      <c r="AY101" s="1" t="s">
        <v>394</v>
      </c>
      <c r="AZ101" s="1" t="s">
        <v>394</v>
      </c>
      <c r="BA101" s="1" t="s">
        <v>825</v>
      </c>
      <c r="BB101" s="1" t="s">
        <v>377</v>
      </c>
      <c r="BC101" s="1" t="s">
        <v>377</v>
      </c>
      <c r="BD101" s="1" t="s">
        <v>377</v>
      </c>
      <c r="BE101" s="1" t="s">
        <v>394</v>
      </c>
      <c r="BF101" s="1" t="s">
        <v>394</v>
      </c>
      <c r="BH101" s="1" t="s">
        <v>785</v>
      </c>
      <c r="BI101" s="1" t="s">
        <v>394</v>
      </c>
      <c r="BJ101" s="1" t="s">
        <v>394</v>
      </c>
      <c r="BK101" s="1" t="s">
        <v>394</v>
      </c>
    </row>
    <row r="102" spans="1:63" x14ac:dyDescent="0.25">
      <c r="A102" s="1">
        <v>101</v>
      </c>
      <c r="B102" s="1" t="s">
        <v>168</v>
      </c>
      <c r="C102" s="1" t="s">
        <v>618</v>
      </c>
      <c r="D102" s="1" t="s">
        <v>44</v>
      </c>
      <c r="E102" s="1" t="s">
        <v>8</v>
      </c>
      <c r="F102" s="1" t="s">
        <v>616</v>
      </c>
      <c r="G102" s="1" t="s">
        <v>56</v>
      </c>
      <c r="H102" s="1">
        <v>2014</v>
      </c>
      <c r="I102" s="1" t="s">
        <v>219</v>
      </c>
      <c r="J102" s="1" t="s">
        <v>51</v>
      </c>
      <c r="K102" s="1">
        <v>204</v>
      </c>
      <c r="L102" s="1" t="s">
        <v>615</v>
      </c>
      <c r="M102" s="1" t="s">
        <v>617</v>
      </c>
      <c r="N102" s="1" t="s">
        <v>810</v>
      </c>
      <c r="O102" s="1" t="s">
        <v>241</v>
      </c>
      <c r="P102" s="1" t="s">
        <v>20</v>
      </c>
      <c r="Q102" s="1" t="s">
        <v>22</v>
      </c>
      <c r="R102" s="1" t="s">
        <v>47</v>
      </c>
      <c r="S102" s="1" t="s">
        <v>57</v>
      </c>
      <c r="T102" s="1" t="s">
        <v>43</v>
      </c>
      <c r="U102" s="1" t="s">
        <v>209</v>
      </c>
      <c r="V102" s="1" t="s">
        <v>44</v>
      </c>
      <c r="W102" s="1" t="s">
        <v>377</v>
      </c>
      <c r="X102" s="1" t="s">
        <v>394</v>
      </c>
      <c r="Y102" s="1" t="s">
        <v>394</v>
      </c>
      <c r="Z102" s="1" t="s">
        <v>377</v>
      </c>
      <c r="AA102" s="1" t="s">
        <v>394</v>
      </c>
      <c r="AB102" s="3" t="s">
        <v>394</v>
      </c>
      <c r="AC102" s="1" t="str">
        <f t="shared" si="2"/>
        <v>Yes</v>
      </c>
      <c r="AD102" s="1" t="s">
        <v>394</v>
      </c>
      <c r="AE102" s="1" t="s">
        <v>394</v>
      </c>
      <c r="AF102" s="1" t="s">
        <v>394</v>
      </c>
      <c r="AG102" s="1" t="s">
        <v>394</v>
      </c>
      <c r="AH102" s="1" t="s">
        <v>394</v>
      </c>
      <c r="AI102" s="1" t="s">
        <v>394</v>
      </c>
      <c r="AJ102" s="1" t="s">
        <v>394</v>
      </c>
      <c r="AK102" s="1" t="s">
        <v>394</v>
      </c>
      <c r="AL102" s="1" t="s">
        <v>394</v>
      </c>
      <c r="AM102" s="1" t="str">
        <f t="shared" si="3"/>
        <v>OK</v>
      </c>
      <c r="AN102" s="1" t="s">
        <v>383</v>
      </c>
      <c r="AO102" s="1" t="s">
        <v>779</v>
      </c>
      <c r="AP102" s="1" t="s">
        <v>394</v>
      </c>
      <c r="AQ102" s="1" t="s">
        <v>394</v>
      </c>
      <c r="AR102" s="1" t="s">
        <v>394</v>
      </c>
      <c r="AS102" s="1" t="s">
        <v>377</v>
      </c>
      <c r="AT102" s="1" t="s">
        <v>377</v>
      </c>
      <c r="AU102" s="1" t="s">
        <v>377</v>
      </c>
      <c r="AV102" s="1" t="s">
        <v>377</v>
      </c>
      <c r="AW102" s="1" t="s">
        <v>394</v>
      </c>
      <c r="AX102" s="1" t="s">
        <v>377</v>
      </c>
      <c r="AY102" s="1" t="s">
        <v>394</v>
      </c>
      <c r="AZ102" s="1" t="s">
        <v>377</v>
      </c>
      <c r="BA102" s="1" t="s">
        <v>377</v>
      </c>
      <c r="BB102" s="1" t="s">
        <v>377</v>
      </c>
      <c r="BC102" s="1" t="s">
        <v>377</v>
      </c>
      <c r="BD102" s="1" t="s">
        <v>377</v>
      </c>
      <c r="BE102" s="1" t="s">
        <v>394</v>
      </c>
      <c r="BF102" s="1" t="s">
        <v>394</v>
      </c>
      <c r="BH102" s="1" t="s">
        <v>785</v>
      </c>
      <c r="BI102" s="1" t="s">
        <v>394</v>
      </c>
      <c r="BJ102" s="1" t="s">
        <v>394</v>
      </c>
      <c r="BK102" s="1" t="s">
        <v>394</v>
      </c>
    </row>
    <row r="103" spans="1:63" x14ac:dyDescent="0.25">
      <c r="A103" s="1">
        <v>102</v>
      </c>
      <c r="B103" s="1" t="s">
        <v>169</v>
      </c>
      <c r="C103" s="1" t="s">
        <v>620</v>
      </c>
      <c r="D103" s="1" t="s">
        <v>44</v>
      </c>
      <c r="E103" s="1" t="s">
        <v>8</v>
      </c>
      <c r="F103" s="1" t="s">
        <v>619</v>
      </c>
      <c r="G103" s="1" t="s">
        <v>56</v>
      </c>
      <c r="H103" s="1">
        <v>2015</v>
      </c>
      <c r="I103" s="1" t="s">
        <v>212</v>
      </c>
      <c r="J103" s="1" t="s">
        <v>51</v>
      </c>
      <c r="K103" s="1">
        <v>5968</v>
      </c>
      <c r="L103" s="1" t="s">
        <v>475</v>
      </c>
      <c r="M103" s="1" t="s">
        <v>621</v>
      </c>
      <c r="N103" s="1" t="s">
        <v>466</v>
      </c>
      <c r="O103" s="1" t="s">
        <v>44</v>
      </c>
      <c r="P103" s="1" t="s">
        <v>20</v>
      </c>
      <c r="Q103" s="1" t="s">
        <v>466</v>
      </c>
      <c r="R103" s="1" t="s">
        <v>760</v>
      </c>
      <c r="S103" s="1" t="s">
        <v>21</v>
      </c>
      <c r="T103" s="1" t="s">
        <v>43</v>
      </c>
      <c r="U103" s="1" t="s">
        <v>638</v>
      </c>
      <c r="V103" s="1" t="s">
        <v>761</v>
      </c>
      <c r="W103" s="1" t="s">
        <v>377</v>
      </c>
      <c r="X103" s="1" t="s">
        <v>377</v>
      </c>
      <c r="Y103" s="1" t="s">
        <v>394</v>
      </c>
      <c r="Z103" s="1" t="s">
        <v>377</v>
      </c>
      <c r="AA103" s="1" t="s">
        <v>394</v>
      </c>
      <c r="AB103" s="3" t="s">
        <v>394</v>
      </c>
      <c r="AC103" s="1" t="str">
        <f t="shared" si="2"/>
        <v>Yes</v>
      </c>
      <c r="AD103" s="1" t="s">
        <v>394</v>
      </c>
      <c r="AE103" s="1" t="s">
        <v>394</v>
      </c>
      <c r="AF103" s="1" t="s">
        <v>394</v>
      </c>
      <c r="AG103" s="1" t="s">
        <v>394</v>
      </c>
      <c r="AH103" s="1" t="s">
        <v>394</v>
      </c>
      <c r="AI103" s="1" t="s">
        <v>394</v>
      </c>
      <c r="AJ103" s="1" t="s">
        <v>394</v>
      </c>
      <c r="AK103" s="1" t="s">
        <v>394</v>
      </c>
      <c r="AL103" s="1" t="s">
        <v>394</v>
      </c>
      <c r="AM103" s="1" t="str">
        <f t="shared" si="3"/>
        <v>OK</v>
      </c>
      <c r="AN103" s="1" t="s">
        <v>383</v>
      </c>
      <c r="AO103" s="1" t="s">
        <v>388</v>
      </c>
      <c r="AP103" s="1" t="s">
        <v>394</v>
      </c>
      <c r="AQ103" s="1" t="s">
        <v>394</v>
      </c>
      <c r="AR103" s="1" t="s">
        <v>394</v>
      </c>
      <c r="AS103" s="1" t="s">
        <v>377</v>
      </c>
      <c r="AT103" s="1" t="s">
        <v>377</v>
      </c>
      <c r="AU103" s="1" t="s">
        <v>378</v>
      </c>
      <c r="AV103" s="1" t="s">
        <v>377</v>
      </c>
      <c r="AW103" s="1" t="s">
        <v>394</v>
      </c>
      <c r="AX103" s="1" t="s">
        <v>378</v>
      </c>
      <c r="AY103" s="1" t="s">
        <v>394</v>
      </c>
      <c r="AZ103" s="1" t="s">
        <v>394</v>
      </c>
      <c r="BA103" s="1" t="s">
        <v>394</v>
      </c>
      <c r="BB103" s="1" t="s">
        <v>377</v>
      </c>
      <c r="BC103" s="1" t="s">
        <v>377</v>
      </c>
      <c r="BD103" s="1" t="s">
        <v>377</v>
      </c>
      <c r="BE103" s="1" t="s">
        <v>377</v>
      </c>
      <c r="BF103" s="1" t="s">
        <v>377</v>
      </c>
      <c r="BH103" s="1" t="s">
        <v>785</v>
      </c>
      <c r="BI103" s="1" t="s">
        <v>394</v>
      </c>
      <c r="BJ103" s="1" t="s">
        <v>394</v>
      </c>
      <c r="BK103" s="1" t="s">
        <v>394</v>
      </c>
    </row>
    <row r="104" spans="1:63" x14ac:dyDescent="0.25">
      <c r="A104" s="1">
        <v>103</v>
      </c>
      <c r="B104" s="1" t="s">
        <v>170</v>
      </c>
      <c r="C104" s="1" t="s">
        <v>626</v>
      </c>
      <c r="D104" s="1" t="s">
        <v>44</v>
      </c>
      <c r="E104" s="1" t="s">
        <v>8</v>
      </c>
      <c r="F104" s="1" t="s">
        <v>625</v>
      </c>
      <c r="G104" s="1" t="s">
        <v>66</v>
      </c>
      <c r="H104" s="1">
        <v>2016</v>
      </c>
      <c r="I104" s="1" t="s">
        <v>622</v>
      </c>
      <c r="J104" s="1" t="s">
        <v>51</v>
      </c>
      <c r="K104" s="1">
        <v>153</v>
      </c>
      <c r="L104" s="1" t="s">
        <v>624</v>
      </c>
      <c r="M104" s="1" t="s">
        <v>623</v>
      </c>
      <c r="N104" s="1" t="s">
        <v>59</v>
      </c>
      <c r="O104" s="1" t="s">
        <v>44</v>
      </c>
      <c r="P104" s="1" t="s">
        <v>230</v>
      </c>
      <c r="Q104" s="1" t="s">
        <v>20</v>
      </c>
      <c r="R104" s="1" t="s">
        <v>47</v>
      </c>
      <c r="S104" s="1" t="s">
        <v>57</v>
      </c>
      <c r="T104" s="1" t="s">
        <v>43</v>
      </c>
      <c r="U104" s="1" t="s">
        <v>627</v>
      </c>
      <c r="V104" s="1" t="s">
        <v>44</v>
      </c>
      <c r="W104" s="1" t="s">
        <v>377</v>
      </c>
      <c r="X104" s="1" t="s">
        <v>377</v>
      </c>
      <c r="Y104" s="1" t="s">
        <v>394</v>
      </c>
      <c r="Z104" s="1" t="s">
        <v>394</v>
      </c>
      <c r="AA104" s="1" t="s">
        <v>394</v>
      </c>
      <c r="AB104" s="3" t="s">
        <v>394</v>
      </c>
      <c r="AC104" s="1" t="str">
        <f t="shared" si="2"/>
        <v>No</v>
      </c>
      <c r="AD104" s="1" t="s">
        <v>394</v>
      </c>
      <c r="AE104" s="1" t="s">
        <v>394</v>
      </c>
      <c r="AF104" s="1" t="s">
        <v>394</v>
      </c>
      <c r="AG104" s="1" t="s">
        <v>394</v>
      </c>
      <c r="AH104" s="1" t="s">
        <v>394</v>
      </c>
      <c r="AI104" s="1" t="s">
        <v>394</v>
      </c>
      <c r="AJ104" s="1" t="s">
        <v>394</v>
      </c>
      <c r="AK104" s="1" t="s">
        <v>394</v>
      </c>
      <c r="AL104" s="1" t="s">
        <v>394</v>
      </c>
      <c r="AM104" s="1" t="str">
        <f t="shared" si="3"/>
        <v>OK</v>
      </c>
      <c r="AN104" s="1" t="s">
        <v>383</v>
      </c>
      <c r="AO104" s="1" t="s">
        <v>805</v>
      </c>
      <c r="AP104" s="1" t="s">
        <v>394</v>
      </c>
      <c r="AQ104" s="1" t="s">
        <v>394</v>
      </c>
      <c r="AR104" s="1" t="s">
        <v>394</v>
      </c>
      <c r="AS104" s="1" t="s">
        <v>377</v>
      </c>
      <c r="AT104" s="1" t="s">
        <v>377</v>
      </c>
      <c r="AU104" s="1" t="s">
        <v>394</v>
      </c>
      <c r="AV104" s="1" t="s">
        <v>377</v>
      </c>
      <c r="AW104" s="1" t="s">
        <v>394</v>
      </c>
      <c r="AX104" s="1" t="s">
        <v>377</v>
      </c>
      <c r="AY104" s="1" t="s">
        <v>394</v>
      </c>
      <c r="AZ104" s="1" t="s">
        <v>394</v>
      </c>
      <c r="BA104" s="1" t="s">
        <v>825</v>
      </c>
      <c r="BB104" s="1" t="s">
        <v>377</v>
      </c>
      <c r="BC104" s="1" t="s">
        <v>377</v>
      </c>
      <c r="BD104" s="1" t="s">
        <v>377</v>
      </c>
      <c r="BE104" s="1" t="s">
        <v>377</v>
      </c>
      <c r="BF104" s="1" t="s">
        <v>377</v>
      </c>
      <c r="BH104" s="1" t="s">
        <v>785</v>
      </c>
      <c r="BI104" s="1" t="s">
        <v>394</v>
      </c>
      <c r="BJ104" s="1" t="s">
        <v>394</v>
      </c>
      <c r="BK104" s="1" t="s">
        <v>394</v>
      </c>
    </row>
    <row r="105" spans="1:63" x14ac:dyDescent="0.25">
      <c r="A105" s="1">
        <v>104</v>
      </c>
      <c r="B105" s="1" t="s">
        <v>171</v>
      </c>
      <c r="C105" s="1" t="s">
        <v>629</v>
      </c>
      <c r="D105" s="1" t="s">
        <v>44</v>
      </c>
      <c r="E105" s="1" t="s">
        <v>8</v>
      </c>
      <c r="F105" s="1" t="s">
        <v>628</v>
      </c>
      <c r="G105" s="1" t="s">
        <v>767</v>
      </c>
      <c r="H105" s="1">
        <v>2020</v>
      </c>
      <c r="I105" s="1" t="s">
        <v>212</v>
      </c>
      <c r="J105" s="1" t="s">
        <v>51</v>
      </c>
      <c r="K105" s="1">
        <v>55</v>
      </c>
      <c r="L105" s="1" t="s">
        <v>475</v>
      </c>
      <c r="M105" s="1" t="s">
        <v>47</v>
      </c>
      <c r="N105" s="1" t="s">
        <v>466</v>
      </c>
      <c r="O105" s="1" t="s">
        <v>44</v>
      </c>
      <c r="P105" s="1" t="s">
        <v>20</v>
      </c>
      <c r="Q105" s="1" t="s">
        <v>466</v>
      </c>
      <c r="R105" s="1" t="s">
        <v>47</v>
      </c>
      <c r="S105" s="1" t="s">
        <v>21</v>
      </c>
      <c r="T105" s="1" t="s">
        <v>43</v>
      </c>
      <c r="U105" s="1" t="s">
        <v>209</v>
      </c>
      <c r="V105" s="1" t="s">
        <v>44</v>
      </c>
      <c r="W105" s="1" t="s">
        <v>377</v>
      </c>
      <c r="X105" s="1" t="s">
        <v>394</v>
      </c>
      <c r="Y105" s="1" t="s">
        <v>394</v>
      </c>
      <c r="Z105" s="1" t="s">
        <v>377</v>
      </c>
      <c r="AA105" s="1" t="s">
        <v>394</v>
      </c>
      <c r="AB105" s="3" t="s">
        <v>394</v>
      </c>
      <c r="AC105" s="1" t="str">
        <f t="shared" si="2"/>
        <v>Yes</v>
      </c>
      <c r="AD105" s="1" t="s">
        <v>394</v>
      </c>
      <c r="AE105" s="1" t="s">
        <v>394</v>
      </c>
      <c r="AF105" s="1" t="s">
        <v>394</v>
      </c>
      <c r="AG105" s="1" t="s">
        <v>394</v>
      </c>
      <c r="AH105" s="1" t="s">
        <v>394</v>
      </c>
      <c r="AI105" s="1" t="s">
        <v>394</v>
      </c>
      <c r="AJ105" s="1" t="s">
        <v>394</v>
      </c>
      <c r="AK105" s="1" t="s">
        <v>394</v>
      </c>
      <c r="AL105" s="1" t="s">
        <v>394</v>
      </c>
      <c r="AM105" s="1" t="str">
        <f t="shared" si="3"/>
        <v>OK</v>
      </c>
      <c r="AN105" s="1" t="s">
        <v>383</v>
      </c>
      <c r="AO105" s="1" t="s">
        <v>384</v>
      </c>
      <c r="AP105" s="1" t="s">
        <v>394</v>
      </c>
      <c r="AQ105" s="1" t="s">
        <v>394</v>
      </c>
      <c r="AR105" s="1" t="s">
        <v>394</v>
      </c>
      <c r="AS105" s="1" t="s">
        <v>377</v>
      </c>
      <c r="AT105" s="1" t="s">
        <v>377</v>
      </c>
      <c r="AU105" s="1" t="s">
        <v>394</v>
      </c>
      <c r="AV105" s="1" t="s">
        <v>377</v>
      </c>
      <c r="AW105" s="1" t="s">
        <v>394</v>
      </c>
      <c r="AX105" s="1" t="s">
        <v>378</v>
      </c>
      <c r="AY105" s="1" t="s">
        <v>394</v>
      </c>
      <c r="AZ105" s="1" t="s">
        <v>394</v>
      </c>
      <c r="BA105" s="1" t="s">
        <v>394</v>
      </c>
      <c r="BB105" s="1" t="s">
        <v>377</v>
      </c>
      <c r="BC105" s="1" t="s">
        <v>377</v>
      </c>
      <c r="BD105" s="1" t="s">
        <v>377</v>
      </c>
      <c r="BE105" s="1" t="s">
        <v>394</v>
      </c>
      <c r="BF105" s="1" t="s">
        <v>394</v>
      </c>
      <c r="BH105" s="1" t="s">
        <v>785</v>
      </c>
      <c r="BI105" s="1" t="s">
        <v>394</v>
      </c>
      <c r="BJ105" s="1" t="s">
        <v>394</v>
      </c>
      <c r="BK105" s="1" t="s">
        <v>394</v>
      </c>
    </row>
    <row r="106" spans="1:63" x14ac:dyDescent="0.25">
      <c r="A106" s="1">
        <v>105</v>
      </c>
      <c r="B106" s="1" t="s">
        <v>172</v>
      </c>
      <c r="C106" s="1" t="s">
        <v>631</v>
      </c>
      <c r="D106" s="1" t="s">
        <v>44</v>
      </c>
      <c r="E106" s="1" t="s">
        <v>8</v>
      </c>
      <c r="F106" s="1" t="s">
        <v>630</v>
      </c>
      <c r="G106" s="1" t="s">
        <v>666</v>
      </c>
      <c r="H106" s="1">
        <v>2020</v>
      </c>
      <c r="I106" s="1" t="s">
        <v>34</v>
      </c>
      <c r="J106" s="1" t="s">
        <v>51</v>
      </c>
      <c r="K106" s="1">
        <v>57</v>
      </c>
      <c r="L106" s="1" t="s">
        <v>475</v>
      </c>
      <c r="M106" s="1" t="s">
        <v>47</v>
      </c>
      <c r="N106" s="1" t="s">
        <v>466</v>
      </c>
      <c r="O106" s="1" t="s">
        <v>44</v>
      </c>
      <c r="P106" s="1" t="s">
        <v>20</v>
      </c>
      <c r="Q106" s="1" t="s">
        <v>466</v>
      </c>
      <c r="R106" s="1" t="s">
        <v>47</v>
      </c>
      <c r="S106" s="1" t="s">
        <v>21</v>
      </c>
      <c r="T106" s="1" t="s">
        <v>43</v>
      </c>
      <c r="U106" s="1" t="s">
        <v>209</v>
      </c>
      <c r="V106" s="1" t="s">
        <v>44</v>
      </c>
      <c r="W106" s="1" t="s">
        <v>377</v>
      </c>
      <c r="X106" s="1" t="s">
        <v>394</v>
      </c>
      <c r="Y106" s="1" t="s">
        <v>394</v>
      </c>
      <c r="Z106" s="1" t="s">
        <v>394</v>
      </c>
      <c r="AA106" s="1" t="s">
        <v>394</v>
      </c>
      <c r="AB106" s="3" t="s">
        <v>394</v>
      </c>
      <c r="AC106" s="1" t="str">
        <f t="shared" si="2"/>
        <v>No</v>
      </c>
      <c r="AD106" s="1" t="s">
        <v>394</v>
      </c>
      <c r="AE106" s="1" t="s">
        <v>394</v>
      </c>
      <c r="AF106" s="1" t="s">
        <v>394</v>
      </c>
      <c r="AG106" s="1" t="s">
        <v>394</v>
      </c>
      <c r="AH106" s="1" t="s">
        <v>394</v>
      </c>
      <c r="AI106" s="1" t="s">
        <v>394</v>
      </c>
      <c r="AJ106" s="1" t="s">
        <v>394</v>
      </c>
      <c r="AK106" s="1" t="s">
        <v>394</v>
      </c>
      <c r="AL106" s="1" t="s">
        <v>394</v>
      </c>
      <c r="AM106" s="1" t="str">
        <f t="shared" si="3"/>
        <v>OK</v>
      </c>
      <c r="AN106" s="1" t="s">
        <v>383</v>
      </c>
      <c r="AO106" s="1" t="s">
        <v>47</v>
      </c>
      <c r="AP106" s="1" t="s">
        <v>394</v>
      </c>
      <c r="AQ106" s="1" t="s">
        <v>394</v>
      </c>
      <c r="AR106" s="1" t="s">
        <v>394</v>
      </c>
      <c r="AS106" s="1" t="s">
        <v>377</v>
      </c>
      <c r="AT106" s="1" t="s">
        <v>377</v>
      </c>
      <c r="AU106" s="1" t="s">
        <v>394</v>
      </c>
      <c r="AV106" s="1" t="s">
        <v>377</v>
      </c>
      <c r="AW106" s="1" t="s">
        <v>394</v>
      </c>
      <c r="AX106" s="1" t="s">
        <v>377</v>
      </c>
      <c r="AY106" s="1" t="s">
        <v>394</v>
      </c>
      <c r="AZ106" s="1" t="s">
        <v>394</v>
      </c>
      <c r="BA106" s="1" t="s">
        <v>825</v>
      </c>
      <c r="BB106" s="1" t="s">
        <v>377</v>
      </c>
      <c r="BC106" s="1" t="s">
        <v>377</v>
      </c>
      <c r="BD106" s="1" t="s">
        <v>394</v>
      </c>
      <c r="BE106" s="1" t="s">
        <v>378</v>
      </c>
      <c r="BF106" s="1" t="s">
        <v>377</v>
      </c>
      <c r="BH106" s="1" t="s">
        <v>785</v>
      </c>
      <c r="BI106" s="1" t="s">
        <v>394</v>
      </c>
      <c r="BJ106" s="1" t="s">
        <v>394</v>
      </c>
      <c r="BK106" s="1" t="s">
        <v>394</v>
      </c>
    </row>
    <row r="107" spans="1:63" x14ac:dyDescent="0.25">
      <c r="A107" s="1">
        <v>107</v>
      </c>
      <c r="B107" s="1" t="s">
        <v>173</v>
      </c>
      <c r="C107" s="1" t="s">
        <v>632</v>
      </c>
      <c r="D107" s="1" t="s">
        <v>44</v>
      </c>
      <c r="E107" s="1" t="s">
        <v>8</v>
      </c>
      <c r="F107" s="1" t="s">
        <v>633</v>
      </c>
      <c r="G107" s="1" t="s">
        <v>762</v>
      </c>
      <c r="H107" s="1">
        <v>2020</v>
      </c>
      <c r="I107" s="1" t="s">
        <v>212</v>
      </c>
      <c r="J107" s="1" t="s">
        <v>51</v>
      </c>
      <c r="K107" s="1">
        <v>848</v>
      </c>
      <c r="L107" s="1" t="s">
        <v>325</v>
      </c>
      <c r="M107" s="1" t="s">
        <v>763</v>
      </c>
      <c r="N107" s="1" t="s">
        <v>252</v>
      </c>
      <c r="O107" s="1" t="s">
        <v>44</v>
      </c>
      <c r="P107" s="1" t="s">
        <v>20</v>
      </c>
      <c r="Q107" s="1" t="s">
        <v>22</v>
      </c>
      <c r="R107" s="1" t="s">
        <v>634</v>
      </c>
      <c r="S107" s="1" t="s">
        <v>21</v>
      </c>
      <c r="T107" s="1" t="s">
        <v>43</v>
      </c>
      <c r="U107" s="1" t="s">
        <v>806</v>
      </c>
      <c r="V107" s="1" t="s">
        <v>795</v>
      </c>
      <c r="W107" s="1" t="s">
        <v>394</v>
      </c>
      <c r="X107" s="1" t="s">
        <v>394</v>
      </c>
      <c r="Y107" s="1" t="s">
        <v>394</v>
      </c>
      <c r="Z107" s="1" t="s">
        <v>394</v>
      </c>
      <c r="AA107" s="1" t="s">
        <v>394</v>
      </c>
      <c r="AB107" s="3" t="s">
        <v>394</v>
      </c>
      <c r="AC107" s="1" t="str">
        <f t="shared" si="2"/>
        <v>No</v>
      </c>
      <c r="AD107" s="1" t="s">
        <v>394</v>
      </c>
      <c r="AE107" s="1" t="s">
        <v>394</v>
      </c>
      <c r="AF107" s="1" t="s">
        <v>394</v>
      </c>
      <c r="AG107" s="1" t="s">
        <v>394</v>
      </c>
      <c r="AH107" s="1" t="s">
        <v>394</v>
      </c>
      <c r="AI107" s="1" t="s">
        <v>377</v>
      </c>
      <c r="AJ107" s="1" t="s">
        <v>394</v>
      </c>
      <c r="AK107" s="1" t="s">
        <v>377</v>
      </c>
      <c r="AL107" s="1" t="s">
        <v>394</v>
      </c>
      <c r="AM107" s="1" t="str">
        <f t="shared" si="3"/>
        <v>OK</v>
      </c>
      <c r="AN107" s="1" t="s">
        <v>383</v>
      </c>
      <c r="AO107" s="1" t="s">
        <v>396</v>
      </c>
      <c r="AP107" s="1" t="s">
        <v>394</v>
      </c>
      <c r="AQ107" s="1" t="s">
        <v>394</v>
      </c>
      <c r="AR107" s="1" t="s">
        <v>394</v>
      </c>
      <c r="AS107" s="1" t="s">
        <v>377</v>
      </c>
      <c r="AT107" s="1" t="s">
        <v>377</v>
      </c>
      <c r="AU107" s="1" t="s">
        <v>377</v>
      </c>
      <c r="AV107" s="1" t="s">
        <v>377</v>
      </c>
      <c r="AW107" s="1" t="s">
        <v>377</v>
      </c>
      <c r="AX107" s="1" t="s">
        <v>394</v>
      </c>
      <c r="AY107" s="1" t="s">
        <v>394</v>
      </c>
      <c r="AZ107" s="1" t="s">
        <v>394</v>
      </c>
      <c r="BA107" s="1" t="s">
        <v>394</v>
      </c>
      <c r="BB107" s="1" t="s">
        <v>377</v>
      </c>
      <c r="BC107" s="1" t="s">
        <v>394</v>
      </c>
      <c r="BD107" s="1" t="s">
        <v>394</v>
      </c>
      <c r="BE107" s="1" t="s">
        <v>377</v>
      </c>
      <c r="BF107" s="1" t="s">
        <v>377</v>
      </c>
      <c r="BH107" s="1" t="s">
        <v>785</v>
      </c>
      <c r="BI107" s="1" t="s">
        <v>394</v>
      </c>
      <c r="BJ107" s="1" t="s">
        <v>394</v>
      </c>
      <c r="BK107" s="1" t="s">
        <v>394</v>
      </c>
    </row>
    <row r="108" spans="1:63" x14ac:dyDescent="0.25">
      <c r="A108" s="1">
        <v>108</v>
      </c>
      <c r="B108" s="1" t="s">
        <v>174</v>
      </c>
      <c r="C108" s="1" t="s">
        <v>637</v>
      </c>
      <c r="D108" s="1" t="s">
        <v>44</v>
      </c>
      <c r="E108" s="1" t="s">
        <v>8</v>
      </c>
      <c r="F108" s="1" t="s">
        <v>635</v>
      </c>
      <c r="G108" s="1" t="s">
        <v>56</v>
      </c>
      <c r="H108" s="1">
        <v>2020</v>
      </c>
      <c r="I108" s="1" t="s">
        <v>212</v>
      </c>
      <c r="J108" s="1" t="s">
        <v>51</v>
      </c>
      <c r="K108" s="1">
        <v>111</v>
      </c>
      <c r="L108" s="1" t="s">
        <v>475</v>
      </c>
      <c r="M108" s="1" t="s">
        <v>764</v>
      </c>
      <c r="N108" s="1" t="s">
        <v>466</v>
      </c>
      <c r="O108" s="1" t="s">
        <v>44</v>
      </c>
      <c r="P108" s="1" t="s">
        <v>20</v>
      </c>
      <c r="Q108" s="1" t="s">
        <v>466</v>
      </c>
      <c r="R108" s="1" t="s">
        <v>47</v>
      </c>
      <c r="S108" s="1" t="s">
        <v>21</v>
      </c>
      <c r="T108" s="1" t="s">
        <v>43</v>
      </c>
      <c r="U108" s="1" t="s">
        <v>209</v>
      </c>
      <c r="V108" s="1" t="s">
        <v>636</v>
      </c>
      <c r="W108" s="1" t="s">
        <v>377</v>
      </c>
      <c r="X108" s="1" t="s">
        <v>377</v>
      </c>
      <c r="Y108" s="1" t="s">
        <v>394</v>
      </c>
      <c r="Z108" s="1" t="s">
        <v>377</v>
      </c>
      <c r="AA108" s="1" t="s">
        <v>394</v>
      </c>
      <c r="AB108" s="3" t="s">
        <v>394</v>
      </c>
      <c r="AC108" s="1" t="str">
        <f t="shared" si="2"/>
        <v>Yes</v>
      </c>
      <c r="AD108" s="1" t="s">
        <v>394</v>
      </c>
      <c r="AE108" s="1" t="s">
        <v>394</v>
      </c>
      <c r="AF108" s="1" t="s">
        <v>394</v>
      </c>
      <c r="AG108" s="1" t="s">
        <v>394</v>
      </c>
      <c r="AH108" s="1" t="s">
        <v>394</v>
      </c>
      <c r="AI108" s="1" t="s">
        <v>394</v>
      </c>
      <c r="AJ108" s="1" t="s">
        <v>394</v>
      </c>
      <c r="AK108" s="1" t="s">
        <v>394</v>
      </c>
      <c r="AL108" s="1" t="s">
        <v>394</v>
      </c>
      <c r="AM108" s="1" t="str">
        <f t="shared" si="3"/>
        <v>OK</v>
      </c>
      <c r="AN108" s="1" t="s">
        <v>383</v>
      </c>
      <c r="AO108" s="1" t="s">
        <v>384</v>
      </c>
      <c r="AP108" s="1" t="s">
        <v>394</v>
      </c>
      <c r="AQ108" s="1" t="s">
        <v>394</v>
      </c>
      <c r="AR108" s="1" t="s">
        <v>394</v>
      </c>
      <c r="AS108" s="1" t="s">
        <v>377</v>
      </c>
      <c r="AT108" s="1" t="s">
        <v>377</v>
      </c>
      <c r="AU108" s="1" t="s">
        <v>378</v>
      </c>
      <c r="AV108" s="1" t="s">
        <v>377</v>
      </c>
      <c r="AW108" s="1" t="s">
        <v>394</v>
      </c>
      <c r="AX108" s="1" t="s">
        <v>378</v>
      </c>
      <c r="AY108" s="1" t="s">
        <v>394</v>
      </c>
      <c r="AZ108" s="1" t="s">
        <v>394</v>
      </c>
      <c r="BA108" s="1" t="s">
        <v>825</v>
      </c>
      <c r="BB108" s="1" t="s">
        <v>377</v>
      </c>
      <c r="BC108" s="1" t="s">
        <v>377</v>
      </c>
      <c r="BD108" s="1" t="s">
        <v>377</v>
      </c>
      <c r="BE108" s="1" t="s">
        <v>377</v>
      </c>
      <c r="BF108" s="1" t="s">
        <v>377</v>
      </c>
      <c r="BH108" s="1" t="s">
        <v>785</v>
      </c>
      <c r="BI108" s="1" t="s">
        <v>394</v>
      </c>
      <c r="BJ108" s="1" t="s">
        <v>394</v>
      </c>
      <c r="BK108" s="1" t="s">
        <v>394</v>
      </c>
    </row>
    <row r="109" spans="1:63" x14ac:dyDescent="0.25">
      <c r="A109" s="1">
        <v>109</v>
      </c>
      <c r="B109" s="1" t="s">
        <v>175</v>
      </c>
      <c r="C109" s="1" t="s">
        <v>641</v>
      </c>
      <c r="D109" s="1" t="s">
        <v>44</v>
      </c>
      <c r="E109" s="1" t="s">
        <v>8</v>
      </c>
      <c r="F109" s="1" t="s">
        <v>640</v>
      </c>
      <c r="G109" s="1" t="s">
        <v>48</v>
      </c>
      <c r="H109" s="1">
        <v>2016</v>
      </c>
      <c r="I109" s="1" t="s">
        <v>219</v>
      </c>
      <c r="J109" s="1" t="s">
        <v>51</v>
      </c>
      <c r="K109" s="1">
        <v>125</v>
      </c>
      <c r="L109" s="1" t="s">
        <v>351</v>
      </c>
      <c r="M109" s="1" t="s">
        <v>47</v>
      </c>
      <c r="N109" s="1" t="s">
        <v>350</v>
      </c>
      <c r="O109" s="1" t="s">
        <v>44</v>
      </c>
      <c r="P109" s="1" t="s">
        <v>230</v>
      </c>
      <c r="Q109" s="1" t="s">
        <v>518</v>
      </c>
      <c r="R109" s="1" t="s">
        <v>639</v>
      </c>
      <c r="S109" s="1" t="s">
        <v>57</v>
      </c>
      <c r="T109" s="1" t="s">
        <v>43</v>
      </c>
      <c r="U109" s="1" t="s">
        <v>638</v>
      </c>
      <c r="V109" s="1" t="s">
        <v>44</v>
      </c>
      <c r="W109" s="1" t="s">
        <v>377</v>
      </c>
      <c r="X109" s="1" t="s">
        <v>377</v>
      </c>
      <c r="Y109" s="1" t="s">
        <v>394</v>
      </c>
      <c r="Z109" s="1" t="s">
        <v>377</v>
      </c>
      <c r="AA109" s="1" t="s">
        <v>394</v>
      </c>
      <c r="AB109" s="3" t="s">
        <v>394</v>
      </c>
      <c r="AC109" s="1" t="str">
        <f t="shared" si="2"/>
        <v>Yes</v>
      </c>
      <c r="AD109" s="1" t="s">
        <v>394</v>
      </c>
      <c r="AE109" s="1" t="s">
        <v>394</v>
      </c>
      <c r="AF109" s="1" t="s">
        <v>394</v>
      </c>
      <c r="AG109" s="1" t="s">
        <v>394</v>
      </c>
      <c r="AH109" s="1" t="s">
        <v>394</v>
      </c>
      <c r="AI109" s="1" t="s">
        <v>394</v>
      </c>
      <c r="AJ109" s="1" t="s">
        <v>394</v>
      </c>
      <c r="AK109" s="1" t="s">
        <v>394</v>
      </c>
      <c r="AL109" s="1" t="s">
        <v>394</v>
      </c>
      <c r="AM109" s="1" t="str">
        <f t="shared" si="3"/>
        <v>OK</v>
      </c>
      <c r="AN109" s="1" t="s">
        <v>383</v>
      </c>
      <c r="AO109" s="1" t="s">
        <v>384</v>
      </c>
      <c r="AP109" s="1" t="s">
        <v>394</v>
      </c>
      <c r="AQ109" s="1" t="s">
        <v>394</v>
      </c>
      <c r="AR109" s="1" t="s">
        <v>394</v>
      </c>
      <c r="AS109" s="1" t="s">
        <v>377</v>
      </c>
      <c r="AT109" s="1" t="s">
        <v>378</v>
      </c>
      <c r="AU109" s="1" t="s">
        <v>394</v>
      </c>
      <c r="AV109" s="1" t="s">
        <v>377</v>
      </c>
      <c r="AW109" s="1" t="s">
        <v>377</v>
      </c>
      <c r="AX109" s="1" t="s">
        <v>378</v>
      </c>
      <c r="AY109" s="1" t="s">
        <v>394</v>
      </c>
      <c r="AZ109" s="1" t="s">
        <v>394</v>
      </c>
      <c r="BA109" s="1" t="s">
        <v>394</v>
      </c>
      <c r="BB109" s="1" t="s">
        <v>377</v>
      </c>
      <c r="BC109" s="1" t="s">
        <v>377</v>
      </c>
      <c r="BD109" s="1" t="s">
        <v>377</v>
      </c>
      <c r="BE109" s="1" t="s">
        <v>378</v>
      </c>
      <c r="BF109" s="1" t="s">
        <v>377</v>
      </c>
      <c r="BH109" s="1" t="s">
        <v>785</v>
      </c>
      <c r="BI109" s="1" t="s">
        <v>394</v>
      </c>
      <c r="BJ109" s="1" t="s">
        <v>394</v>
      </c>
      <c r="BK109" s="1" t="s">
        <v>394</v>
      </c>
    </row>
    <row r="110" spans="1:63" x14ac:dyDescent="0.25">
      <c r="A110" s="1">
        <v>110</v>
      </c>
      <c r="B110" s="1" t="s">
        <v>176</v>
      </c>
      <c r="C110" s="1" t="s">
        <v>644</v>
      </c>
      <c r="D110" s="1" t="s">
        <v>44</v>
      </c>
      <c r="E110" s="1" t="s">
        <v>8</v>
      </c>
      <c r="F110" s="1" t="s">
        <v>643</v>
      </c>
      <c r="G110" s="1" t="s">
        <v>56</v>
      </c>
      <c r="H110" s="1">
        <v>2017</v>
      </c>
      <c r="I110" s="1" t="s">
        <v>242</v>
      </c>
      <c r="J110" s="1" t="s">
        <v>51</v>
      </c>
      <c r="K110" s="1">
        <v>5894</v>
      </c>
      <c r="L110" s="1" t="s">
        <v>58</v>
      </c>
      <c r="M110" s="1" t="s">
        <v>47</v>
      </c>
      <c r="N110" s="1" t="s">
        <v>59</v>
      </c>
      <c r="O110" s="1" t="s">
        <v>44</v>
      </c>
      <c r="P110" s="1" t="s">
        <v>230</v>
      </c>
      <c r="Q110" s="1" t="s">
        <v>518</v>
      </c>
      <c r="R110" s="1" t="s">
        <v>642</v>
      </c>
      <c r="S110" s="1" t="s">
        <v>57</v>
      </c>
      <c r="T110" s="1" t="s">
        <v>43</v>
      </c>
      <c r="U110" s="1" t="s">
        <v>209</v>
      </c>
      <c r="V110" s="1" t="s">
        <v>44</v>
      </c>
      <c r="W110" s="1" t="s">
        <v>377</v>
      </c>
      <c r="X110" s="1" t="s">
        <v>394</v>
      </c>
      <c r="Y110" s="1" t="s">
        <v>394</v>
      </c>
      <c r="Z110" s="1" t="s">
        <v>394</v>
      </c>
      <c r="AA110" s="1" t="s">
        <v>394</v>
      </c>
      <c r="AB110" s="3" t="s">
        <v>394</v>
      </c>
      <c r="AC110" s="1" t="str">
        <f t="shared" si="2"/>
        <v>No</v>
      </c>
      <c r="AD110" s="1" t="s">
        <v>394</v>
      </c>
      <c r="AE110" s="1" t="s">
        <v>394</v>
      </c>
      <c r="AF110" s="1" t="s">
        <v>394</v>
      </c>
      <c r="AG110" s="1" t="s">
        <v>394</v>
      </c>
      <c r="AH110" s="1" t="s">
        <v>394</v>
      </c>
      <c r="AI110" s="1" t="s">
        <v>394</v>
      </c>
      <c r="AJ110" s="1" t="s">
        <v>394</v>
      </c>
      <c r="AK110" s="1" t="s">
        <v>394</v>
      </c>
      <c r="AL110" s="1" t="s">
        <v>394</v>
      </c>
      <c r="AM110" s="1" t="str">
        <f t="shared" si="3"/>
        <v>OK</v>
      </c>
      <c r="AN110" s="1" t="s">
        <v>383</v>
      </c>
      <c r="AO110" s="1" t="s">
        <v>396</v>
      </c>
      <c r="AP110" s="1" t="s">
        <v>394</v>
      </c>
      <c r="AQ110" s="1" t="s">
        <v>394</v>
      </c>
      <c r="AR110" s="1" t="s">
        <v>394</v>
      </c>
      <c r="AS110" s="1" t="s">
        <v>377</v>
      </c>
      <c r="AT110" s="1" t="s">
        <v>377</v>
      </c>
      <c r="AU110" s="1" t="s">
        <v>378</v>
      </c>
      <c r="AV110" s="1" t="s">
        <v>377</v>
      </c>
      <c r="AW110" s="1" t="s">
        <v>394</v>
      </c>
      <c r="AX110" s="1" t="s">
        <v>377</v>
      </c>
      <c r="AY110" s="1" t="s">
        <v>394</v>
      </c>
      <c r="AZ110" s="1" t="s">
        <v>394</v>
      </c>
      <c r="BA110" s="1" t="s">
        <v>394</v>
      </c>
      <c r="BB110" s="1" t="s">
        <v>377</v>
      </c>
      <c r="BC110" s="1" t="s">
        <v>377</v>
      </c>
      <c r="BD110" s="1" t="s">
        <v>377</v>
      </c>
      <c r="BE110" s="1" t="s">
        <v>394</v>
      </c>
      <c r="BF110" s="1" t="s">
        <v>377</v>
      </c>
      <c r="BH110" s="1" t="s">
        <v>785</v>
      </c>
      <c r="BI110" s="1" t="s">
        <v>394</v>
      </c>
      <c r="BJ110" s="1" t="s">
        <v>394</v>
      </c>
      <c r="BK110" s="1" t="s">
        <v>394</v>
      </c>
    </row>
    <row r="111" spans="1:63" x14ac:dyDescent="0.25">
      <c r="A111" s="1">
        <v>111</v>
      </c>
      <c r="B111" s="1" t="s">
        <v>177</v>
      </c>
      <c r="C111" s="1" t="s">
        <v>648</v>
      </c>
      <c r="D111" s="1" t="s">
        <v>44</v>
      </c>
      <c r="E111" s="1" t="s">
        <v>8</v>
      </c>
      <c r="F111" s="1" t="s">
        <v>647</v>
      </c>
      <c r="G111" s="1" t="s">
        <v>420</v>
      </c>
      <c r="H111" s="1">
        <v>2023</v>
      </c>
      <c r="I111" s="1" t="s">
        <v>34</v>
      </c>
      <c r="J111" s="1" t="s">
        <v>51</v>
      </c>
      <c r="K111" s="1">
        <v>95</v>
      </c>
      <c r="L111" s="1" t="s">
        <v>475</v>
      </c>
      <c r="M111" s="1" t="s">
        <v>646</v>
      </c>
      <c r="N111" s="1" t="s">
        <v>466</v>
      </c>
      <c r="O111" s="1" t="s">
        <v>44</v>
      </c>
      <c r="P111" s="1" t="s">
        <v>20</v>
      </c>
      <c r="Q111" s="1" t="s">
        <v>466</v>
      </c>
      <c r="R111" s="1" t="s">
        <v>47</v>
      </c>
      <c r="S111" s="1" t="s">
        <v>21</v>
      </c>
      <c r="T111" s="1" t="s">
        <v>43</v>
      </c>
      <c r="U111" s="1" t="s">
        <v>209</v>
      </c>
      <c r="V111" s="1" t="s">
        <v>435</v>
      </c>
      <c r="W111" s="1" t="s">
        <v>377</v>
      </c>
      <c r="X111" s="1" t="s">
        <v>377</v>
      </c>
      <c r="Y111" s="1" t="s">
        <v>394</v>
      </c>
      <c r="Z111" s="1" t="s">
        <v>394</v>
      </c>
      <c r="AA111" s="1" t="s">
        <v>394</v>
      </c>
      <c r="AB111" s="3" t="s">
        <v>394</v>
      </c>
      <c r="AC111" s="1" t="str">
        <f t="shared" si="2"/>
        <v>No</v>
      </c>
      <c r="AD111" s="1" t="s">
        <v>394</v>
      </c>
      <c r="AE111" s="1" t="s">
        <v>394</v>
      </c>
      <c r="AF111" s="1" t="s">
        <v>394</v>
      </c>
      <c r="AG111" s="1" t="s">
        <v>394</v>
      </c>
      <c r="AH111" s="1" t="s">
        <v>394</v>
      </c>
      <c r="AI111" s="1" t="s">
        <v>394</v>
      </c>
      <c r="AJ111" s="1" t="s">
        <v>394</v>
      </c>
      <c r="AK111" s="1" t="s">
        <v>394</v>
      </c>
      <c r="AL111" s="1" t="s">
        <v>394</v>
      </c>
      <c r="AM111" s="1" t="str">
        <f t="shared" si="3"/>
        <v>OK</v>
      </c>
      <c r="AN111" s="1" t="s">
        <v>383</v>
      </c>
      <c r="AO111" s="1" t="s">
        <v>387</v>
      </c>
      <c r="AP111" s="1" t="s">
        <v>394</v>
      </c>
      <c r="AQ111" s="1" t="s">
        <v>377</v>
      </c>
      <c r="AR111" s="1" t="s">
        <v>394</v>
      </c>
      <c r="AS111" s="1" t="s">
        <v>377</v>
      </c>
      <c r="AT111" s="1" t="s">
        <v>377</v>
      </c>
      <c r="AU111" s="1" t="s">
        <v>394</v>
      </c>
      <c r="AV111" s="1" t="s">
        <v>377</v>
      </c>
      <c r="AW111" s="1" t="s">
        <v>394</v>
      </c>
      <c r="AX111" s="1" t="s">
        <v>377</v>
      </c>
      <c r="AY111" s="1" t="s">
        <v>394</v>
      </c>
      <c r="AZ111" s="1" t="s">
        <v>394</v>
      </c>
      <c r="BA111" s="1" t="s">
        <v>825</v>
      </c>
      <c r="BB111" s="1" t="s">
        <v>377</v>
      </c>
      <c r="BC111" s="1" t="s">
        <v>377</v>
      </c>
      <c r="BD111" s="1" t="s">
        <v>377</v>
      </c>
      <c r="BE111" s="1" t="s">
        <v>378</v>
      </c>
      <c r="BF111" s="1" t="s">
        <v>394</v>
      </c>
      <c r="BH111" s="1" t="s">
        <v>785</v>
      </c>
      <c r="BI111" s="1" t="s">
        <v>394</v>
      </c>
      <c r="BJ111" s="1" t="s">
        <v>394</v>
      </c>
      <c r="BK111" s="1" t="s">
        <v>394</v>
      </c>
    </row>
    <row r="112" spans="1:63" x14ac:dyDescent="0.25">
      <c r="A112" s="1">
        <v>112</v>
      </c>
      <c r="B112" s="1" t="s">
        <v>178</v>
      </c>
      <c r="C112" s="1" t="s">
        <v>652</v>
      </c>
      <c r="D112" s="1" t="s">
        <v>44</v>
      </c>
      <c r="E112" s="1" t="s">
        <v>8</v>
      </c>
      <c r="F112" s="1" t="s">
        <v>651</v>
      </c>
      <c r="G112" s="1" t="s">
        <v>48</v>
      </c>
      <c r="H112" s="1">
        <v>2020</v>
      </c>
      <c r="I112" s="1" t="s">
        <v>30</v>
      </c>
      <c r="J112" s="1" t="s">
        <v>51</v>
      </c>
      <c r="K112" s="1">
        <v>17161</v>
      </c>
      <c r="L112" s="1" t="s">
        <v>475</v>
      </c>
      <c r="M112" s="1" t="s">
        <v>649</v>
      </c>
      <c r="N112" s="1" t="s">
        <v>650</v>
      </c>
      <c r="O112" s="1" t="s">
        <v>44</v>
      </c>
      <c r="P112" s="1" t="s">
        <v>20</v>
      </c>
      <c r="Q112" s="1" t="s">
        <v>22</v>
      </c>
      <c r="R112" s="1" t="s">
        <v>47</v>
      </c>
      <c r="S112" s="1" t="s">
        <v>21</v>
      </c>
      <c r="T112" s="1" t="s">
        <v>43</v>
      </c>
      <c r="U112" s="1" t="s">
        <v>209</v>
      </c>
      <c r="V112" s="1" t="s">
        <v>435</v>
      </c>
      <c r="W112" s="1" t="s">
        <v>377</v>
      </c>
      <c r="X112" s="1" t="s">
        <v>377</v>
      </c>
      <c r="Y112" s="1" t="s">
        <v>394</v>
      </c>
      <c r="Z112" s="1" t="s">
        <v>377</v>
      </c>
      <c r="AA112" s="1" t="s">
        <v>394</v>
      </c>
      <c r="AB112" s="3" t="s">
        <v>394</v>
      </c>
      <c r="AC112" s="1" t="str">
        <f t="shared" si="2"/>
        <v>Yes</v>
      </c>
      <c r="AD112" s="1" t="s">
        <v>394</v>
      </c>
      <c r="AE112" s="1" t="s">
        <v>394</v>
      </c>
      <c r="AF112" s="1" t="s">
        <v>394</v>
      </c>
      <c r="AG112" s="1" t="s">
        <v>394</v>
      </c>
      <c r="AH112" s="1" t="s">
        <v>394</v>
      </c>
      <c r="AI112" s="1" t="s">
        <v>394</v>
      </c>
      <c r="AJ112" s="1" t="s">
        <v>394</v>
      </c>
      <c r="AK112" s="1" t="s">
        <v>394</v>
      </c>
      <c r="AL112" s="1" t="s">
        <v>394</v>
      </c>
      <c r="AM112" s="1" t="str">
        <f t="shared" si="3"/>
        <v>OK</v>
      </c>
      <c r="AN112" s="1" t="s">
        <v>383</v>
      </c>
      <c r="AO112" s="1" t="s">
        <v>384</v>
      </c>
      <c r="AP112" s="1" t="s">
        <v>394</v>
      </c>
      <c r="AQ112" s="1" t="s">
        <v>394</v>
      </c>
      <c r="AR112" s="1" t="s">
        <v>394</v>
      </c>
      <c r="AS112" s="1" t="s">
        <v>377</v>
      </c>
      <c r="AT112" s="1" t="s">
        <v>377</v>
      </c>
      <c r="AU112" s="1" t="s">
        <v>377</v>
      </c>
      <c r="AV112" s="1" t="s">
        <v>377</v>
      </c>
      <c r="AW112" s="1" t="s">
        <v>377</v>
      </c>
      <c r="AX112" s="1" t="s">
        <v>377</v>
      </c>
      <c r="AY112" s="1" t="s">
        <v>394</v>
      </c>
      <c r="AZ112" s="1" t="s">
        <v>394</v>
      </c>
      <c r="BA112" s="1" t="s">
        <v>377</v>
      </c>
      <c r="BB112" s="1" t="s">
        <v>377</v>
      </c>
      <c r="BC112" s="1" t="s">
        <v>377</v>
      </c>
      <c r="BD112" s="1" t="s">
        <v>377</v>
      </c>
      <c r="BE112" s="1" t="s">
        <v>377</v>
      </c>
      <c r="BF112" s="1" t="s">
        <v>377</v>
      </c>
      <c r="BH112" s="1" t="s">
        <v>785</v>
      </c>
      <c r="BI112" s="1" t="s">
        <v>394</v>
      </c>
      <c r="BJ112" s="1" t="s">
        <v>394</v>
      </c>
      <c r="BK112" s="1" t="s">
        <v>377</v>
      </c>
    </row>
    <row r="113" spans="1:63" x14ac:dyDescent="0.25">
      <c r="A113" s="1">
        <v>113</v>
      </c>
      <c r="B113" s="1" t="s">
        <v>179</v>
      </c>
      <c r="C113" s="1" t="s">
        <v>654</v>
      </c>
      <c r="D113" s="1" t="s">
        <v>44</v>
      </c>
      <c r="E113" s="1" t="s">
        <v>8</v>
      </c>
      <c r="F113" s="1" t="s">
        <v>653</v>
      </c>
      <c r="G113" s="1" t="s">
        <v>400</v>
      </c>
      <c r="H113" s="1">
        <v>2022</v>
      </c>
      <c r="I113" s="1" t="s">
        <v>30</v>
      </c>
      <c r="J113" s="1" t="s">
        <v>51</v>
      </c>
      <c r="K113" s="1">
        <v>246</v>
      </c>
      <c r="L113" s="1" t="s">
        <v>475</v>
      </c>
      <c r="M113" s="1" t="s">
        <v>47</v>
      </c>
      <c r="N113" s="1" t="s">
        <v>466</v>
      </c>
      <c r="O113" s="1" t="s">
        <v>44</v>
      </c>
      <c r="P113" s="1" t="s">
        <v>20</v>
      </c>
      <c r="Q113" s="1" t="s">
        <v>466</v>
      </c>
      <c r="R113" s="1" t="s">
        <v>47</v>
      </c>
      <c r="S113" s="1" t="s">
        <v>21</v>
      </c>
      <c r="T113" s="1" t="s">
        <v>43</v>
      </c>
      <c r="U113" s="1" t="s">
        <v>41</v>
      </c>
      <c r="V113" s="1" t="s">
        <v>44</v>
      </c>
      <c r="W113" s="1" t="s">
        <v>394</v>
      </c>
      <c r="X113" s="1" t="s">
        <v>377</v>
      </c>
      <c r="Y113" s="1" t="s">
        <v>394</v>
      </c>
      <c r="Z113" s="1" t="s">
        <v>394</v>
      </c>
      <c r="AA113" s="1" t="s">
        <v>394</v>
      </c>
      <c r="AB113" s="3" t="s">
        <v>394</v>
      </c>
      <c r="AC113" s="1" t="str">
        <f t="shared" si="2"/>
        <v>No</v>
      </c>
      <c r="AD113" s="1" t="s">
        <v>394</v>
      </c>
      <c r="AE113" s="1" t="s">
        <v>394</v>
      </c>
      <c r="AF113" s="1" t="s">
        <v>394</v>
      </c>
      <c r="AG113" s="1" t="s">
        <v>394</v>
      </c>
      <c r="AH113" s="1" t="s">
        <v>394</v>
      </c>
      <c r="AI113" s="1" t="s">
        <v>394</v>
      </c>
      <c r="AJ113" s="1" t="s">
        <v>394</v>
      </c>
      <c r="AK113" s="1" t="s">
        <v>394</v>
      </c>
      <c r="AL113" s="1" t="s">
        <v>394</v>
      </c>
      <c r="AM113" s="1" t="str">
        <f t="shared" si="3"/>
        <v>OK</v>
      </c>
      <c r="AN113" s="1" t="s">
        <v>383</v>
      </c>
      <c r="AO113" s="1" t="s">
        <v>387</v>
      </c>
      <c r="AP113" s="1" t="s">
        <v>394</v>
      </c>
      <c r="AQ113" s="1" t="s">
        <v>377</v>
      </c>
      <c r="AR113" s="1" t="s">
        <v>377</v>
      </c>
      <c r="AS113" s="1" t="s">
        <v>377</v>
      </c>
      <c r="AT113" s="1" t="s">
        <v>377</v>
      </c>
      <c r="AU113" s="1" t="s">
        <v>394</v>
      </c>
      <c r="AV113" s="1" t="s">
        <v>377</v>
      </c>
      <c r="AW113" s="1" t="s">
        <v>394</v>
      </c>
      <c r="AX113" s="1" t="s">
        <v>378</v>
      </c>
      <c r="AY113" s="1" t="s">
        <v>394</v>
      </c>
      <c r="AZ113" s="1" t="s">
        <v>394</v>
      </c>
      <c r="BA113" s="1" t="s">
        <v>394</v>
      </c>
      <c r="BB113" s="1" t="s">
        <v>377</v>
      </c>
      <c r="BC113" s="1" t="s">
        <v>377</v>
      </c>
      <c r="BD113" s="1" t="s">
        <v>394</v>
      </c>
      <c r="BE113" s="1" t="s">
        <v>377</v>
      </c>
      <c r="BF113" s="1" t="s">
        <v>377</v>
      </c>
      <c r="BH113" s="1" t="s">
        <v>785</v>
      </c>
      <c r="BI113" s="1" t="s">
        <v>394</v>
      </c>
      <c r="BJ113" s="1" t="s">
        <v>394</v>
      </c>
      <c r="BK113" s="1" t="s">
        <v>394</v>
      </c>
    </row>
    <row r="114" spans="1:63" x14ac:dyDescent="0.25">
      <c r="A114" s="1">
        <v>114</v>
      </c>
      <c r="B114" s="1" t="s">
        <v>180</v>
      </c>
      <c r="C114" s="1" t="s">
        <v>656</v>
      </c>
      <c r="D114" s="1" t="s">
        <v>44</v>
      </c>
      <c r="E114" s="1" t="s">
        <v>8</v>
      </c>
      <c r="F114" s="1" t="s">
        <v>655</v>
      </c>
      <c r="G114" s="1" t="s">
        <v>327</v>
      </c>
      <c r="H114" s="1">
        <v>2022</v>
      </c>
      <c r="I114" s="1" t="s">
        <v>34</v>
      </c>
      <c r="J114" s="1" t="s">
        <v>51</v>
      </c>
      <c r="K114" s="1">
        <v>496</v>
      </c>
      <c r="L114" s="1" t="s">
        <v>475</v>
      </c>
      <c r="M114" s="1">
        <v>72</v>
      </c>
      <c r="N114" s="1" t="s">
        <v>466</v>
      </c>
      <c r="O114" s="1" t="s">
        <v>44</v>
      </c>
      <c r="P114" s="1" t="s">
        <v>20</v>
      </c>
      <c r="Q114" s="1" t="s">
        <v>466</v>
      </c>
      <c r="R114" s="1" t="s">
        <v>47</v>
      </c>
      <c r="S114" s="1" t="s">
        <v>21</v>
      </c>
      <c r="T114" s="1" t="s">
        <v>43</v>
      </c>
      <c r="U114" s="1" t="s">
        <v>209</v>
      </c>
      <c r="V114" s="1" t="s">
        <v>44</v>
      </c>
      <c r="W114" s="1" t="s">
        <v>377</v>
      </c>
      <c r="X114" s="1" t="s">
        <v>394</v>
      </c>
      <c r="Y114" s="1" t="s">
        <v>394</v>
      </c>
      <c r="Z114" s="1" t="s">
        <v>377</v>
      </c>
      <c r="AA114" s="1" t="s">
        <v>394</v>
      </c>
      <c r="AB114" s="3" t="s">
        <v>394</v>
      </c>
      <c r="AC114" s="1" t="str">
        <f t="shared" si="2"/>
        <v>Yes</v>
      </c>
      <c r="AD114" s="1" t="s">
        <v>394</v>
      </c>
      <c r="AE114" s="1" t="s">
        <v>394</v>
      </c>
      <c r="AF114" s="1" t="s">
        <v>394</v>
      </c>
      <c r="AG114" s="1" t="s">
        <v>394</v>
      </c>
      <c r="AH114" s="1" t="s">
        <v>394</v>
      </c>
      <c r="AI114" s="1" t="s">
        <v>394</v>
      </c>
      <c r="AJ114" s="1" t="s">
        <v>394</v>
      </c>
      <c r="AK114" s="1" t="s">
        <v>394</v>
      </c>
      <c r="AL114" s="1" t="s">
        <v>394</v>
      </c>
      <c r="AM114" s="1" t="str">
        <f t="shared" si="3"/>
        <v>OK</v>
      </c>
      <c r="AN114" s="1" t="s">
        <v>383</v>
      </c>
      <c r="AO114" s="1" t="s">
        <v>384</v>
      </c>
      <c r="AP114" s="1" t="s">
        <v>377</v>
      </c>
      <c r="AQ114" s="1" t="s">
        <v>394</v>
      </c>
      <c r="AR114" s="1" t="s">
        <v>394</v>
      </c>
      <c r="AS114" s="1" t="s">
        <v>377</v>
      </c>
      <c r="AT114" s="1" t="s">
        <v>377</v>
      </c>
      <c r="AU114" s="1" t="s">
        <v>377</v>
      </c>
      <c r="AV114" s="1" t="s">
        <v>377</v>
      </c>
      <c r="AW114" s="1" t="s">
        <v>394</v>
      </c>
      <c r="AX114" s="1" t="s">
        <v>378</v>
      </c>
      <c r="AY114" s="1" t="s">
        <v>394</v>
      </c>
      <c r="AZ114" s="1" t="s">
        <v>394</v>
      </c>
      <c r="BA114" s="1" t="s">
        <v>825</v>
      </c>
      <c r="BB114" s="1" t="s">
        <v>377</v>
      </c>
      <c r="BC114" s="1" t="s">
        <v>377</v>
      </c>
      <c r="BD114" s="1" t="s">
        <v>377</v>
      </c>
      <c r="BE114" s="1" t="s">
        <v>394</v>
      </c>
      <c r="BF114" s="1" t="s">
        <v>394</v>
      </c>
      <c r="BH114" s="1" t="s">
        <v>785</v>
      </c>
      <c r="BI114" s="1" t="s">
        <v>394</v>
      </c>
      <c r="BJ114" s="1" t="s">
        <v>394</v>
      </c>
      <c r="BK114" s="1" t="s">
        <v>394</v>
      </c>
    </row>
    <row r="115" spans="1:63" x14ac:dyDescent="0.25">
      <c r="A115" s="1">
        <v>115</v>
      </c>
      <c r="B115" s="1" t="s">
        <v>181</v>
      </c>
      <c r="C115" s="1" t="s">
        <v>662</v>
      </c>
      <c r="D115" s="1" t="s">
        <v>44</v>
      </c>
      <c r="E115" s="1" t="s">
        <v>8</v>
      </c>
      <c r="F115" s="1" t="s">
        <v>661</v>
      </c>
      <c r="G115" s="1" t="s">
        <v>56</v>
      </c>
      <c r="H115" s="1">
        <v>2022</v>
      </c>
      <c r="I115" s="1" t="s">
        <v>242</v>
      </c>
      <c r="J115" s="1" t="s">
        <v>51</v>
      </c>
      <c r="K115" s="1">
        <v>2598</v>
      </c>
      <c r="L115" s="1" t="s">
        <v>475</v>
      </c>
      <c r="M115" s="1" t="s">
        <v>657</v>
      </c>
      <c r="N115" s="1" t="s">
        <v>466</v>
      </c>
      <c r="O115" s="1" t="s">
        <v>44</v>
      </c>
      <c r="P115" s="1" t="s">
        <v>20</v>
      </c>
      <c r="Q115" s="1" t="s">
        <v>466</v>
      </c>
      <c r="R115" s="1" t="s">
        <v>658</v>
      </c>
      <c r="S115" s="1" t="s">
        <v>21</v>
      </c>
      <c r="T115" s="1" t="s">
        <v>43</v>
      </c>
      <c r="U115" s="1" t="s">
        <v>209</v>
      </c>
      <c r="V115" s="1" t="s">
        <v>659</v>
      </c>
      <c r="W115" s="1" t="s">
        <v>377</v>
      </c>
      <c r="X115" s="1" t="s">
        <v>394</v>
      </c>
      <c r="Y115" s="1" t="s">
        <v>394</v>
      </c>
      <c r="Z115" s="1" t="s">
        <v>377</v>
      </c>
      <c r="AA115" s="1" t="s">
        <v>394</v>
      </c>
      <c r="AB115" s="3" t="s">
        <v>394</v>
      </c>
      <c r="AC115" s="1" t="str">
        <f t="shared" si="2"/>
        <v>Yes</v>
      </c>
      <c r="AD115" s="1" t="s">
        <v>394</v>
      </c>
      <c r="AE115" s="1" t="s">
        <v>394</v>
      </c>
      <c r="AF115" s="1" t="s">
        <v>394</v>
      </c>
      <c r="AG115" s="1" t="s">
        <v>394</v>
      </c>
      <c r="AH115" s="1" t="s">
        <v>394</v>
      </c>
      <c r="AI115" s="1" t="s">
        <v>394</v>
      </c>
      <c r="AJ115" s="1" t="s">
        <v>394</v>
      </c>
      <c r="AK115" s="1" t="s">
        <v>394</v>
      </c>
      <c r="AL115" s="1" t="s">
        <v>394</v>
      </c>
      <c r="AM115" s="1" t="str">
        <f t="shared" si="3"/>
        <v>OK</v>
      </c>
      <c r="AN115" s="1" t="s">
        <v>383</v>
      </c>
      <c r="AO115" s="1" t="s">
        <v>660</v>
      </c>
      <c r="AP115" s="1" t="s">
        <v>394</v>
      </c>
      <c r="AQ115" s="1" t="s">
        <v>377</v>
      </c>
      <c r="AR115" s="1" t="s">
        <v>394</v>
      </c>
      <c r="AS115" s="1" t="s">
        <v>377</v>
      </c>
      <c r="AT115" s="1" t="s">
        <v>377</v>
      </c>
      <c r="AU115" s="1" t="s">
        <v>377</v>
      </c>
      <c r="AV115" s="1" t="s">
        <v>377</v>
      </c>
      <c r="AW115" s="1" t="s">
        <v>394</v>
      </c>
      <c r="AX115" s="1" t="s">
        <v>377</v>
      </c>
      <c r="AY115" s="1" t="s">
        <v>394</v>
      </c>
      <c r="AZ115" s="1" t="s">
        <v>394</v>
      </c>
      <c r="BA115" s="1" t="s">
        <v>825</v>
      </c>
      <c r="BB115" s="1" t="s">
        <v>377</v>
      </c>
      <c r="BC115" s="1" t="s">
        <v>377</v>
      </c>
      <c r="BD115" s="1" t="s">
        <v>377</v>
      </c>
      <c r="BE115" s="1" t="s">
        <v>394</v>
      </c>
      <c r="BF115" s="1" t="s">
        <v>394</v>
      </c>
      <c r="BH115" s="1" t="s">
        <v>785</v>
      </c>
      <c r="BI115" s="1" t="s">
        <v>394</v>
      </c>
      <c r="BJ115" s="1" t="s">
        <v>394</v>
      </c>
      <c r="BK115" s="1" t="s">
        <v>394</v>
      </c>
    </row>
    <row r="116" spans="1:63" x14ac:dyDescent="0.25">
      <c r="A116" s="1">
        <v>116</v>
      </c>
      <c r="B116" s="1" t="s">
        <v>182</v>
      </c>
      <c r="C116" s="1" t="s">
        <v>664</v>
      </c>
      <c r="D116" s="1" t="s">
        <v>44</v>
      </c>
      <c r="E116" s="1" t="s">
        <v>8</v>
      </c>
      <c r="F116" s="1" t="s">
        <v>663</v>
      </c>
      <c r="G116" s="1" t="s">
        <v>666</v>
      </c>
      <c r="H116" s="1">
        <v>2018</v>
      </c>
      <c r="I116" s="1" t="s">
        <v>34</v>
      </c>
      <c r="J116" s="1" t="s">
        <v>51</v>
      </c>
      <c r="K116" s="1">
        <v>521</v>
      </c>
      <c r="L116" s="1" t="s">
        <v>475</v>
      </c>
      <c r="M116" s="1" t="s">
        <v>665</v>
      </c>
      <c r="N116" s="1" t="s">
        <v>466</v>
      </c>
      <c r="O116" s="1" t="s">
        <v>44</v>
      </c>
      <c r="P116" s="1" t="s">
        <v>20</v>
      </c>
      <c r="Q116" s="1" t="s">
        <v>466</v>
      </c>
      <c r="R116" s="1" t="s">
        <v>47</v>
      </c>
      <c r="S116" s="1" t="s">
        <v>21</v>
      </c>
      <c r="T116" s="1" t="s">
        <v>43</v>
      </c>
      <c r="U116" s="1" t="s">
        <v>209</v>
      </c>
      <c r="V116" s="1" t="s">
        <v>44</v>
      </c>
      <c r="W116" s="1" t="s">
        <v>377</v>
      </c>
      <c r="X116" s="1" t="s">
        <v>394</v>
      </c>
      <c r="Y116" s="1" t="s">
        <v>394</v>
      </c>
      <c r="Z116" s="1" t="s">
        <v>377</v>
      </c>
      <c r="AA116" s="1" t="s">
        <v>394</v>
      </c>
      <c r="AB116" s="3" t="s">
        <v>394</v>
      </c>
      <c r="AC116" s="1" t="str">
        <f t="shared" si="2"/>
        <v>Yes</v>
      </c>
      <c r="AD116" s="1" t="s">
        <v>394</v>
      </c>
      <c r="AE116" s="1" t="s">
        <v>394</v>
      </c>
      <c r="AF116" s="1" t="s">
        <v>394</v>
      </c>
      <c r="AG116" s="1" t="s">
        <v>394</v>
      </c>
      <c r="AH116" s="1" t="s">
        <v>394</v>
      </c>
      <c r="AI116" s="1" t="s">
        <v>394</v>
      </c>
      <c r="AJ116" s="1" t="s">
        <v>394</v>
      </c>
      <c r="AK116" s="1" t="s">
        <v>394</v>
      </c>
      <c r="AL116" s="1" t="s">
        <v>394</v>
      </c>
      <c r="AM116" s="1" t="str">
        <f t="shared" si="3"/>
        <v>OK</v>
      </c>
      <c r="AN116" s="1" t="s">
        <v>383</v>
      </c>
      <c r="AO116" s="1" t="s">
        <v>396</v>
      </c>
      <c r="AP116" s="1" t="s">
        <v>394</v>
      </c>
      <c r="AQ116" s="1" t="s">
        <v>394</v>
      </c>
      <c r="AR116" s="1" t="s">
        <v>394</v>
      </c>
      <c r="AS116" s="1" t="s">
        <v>377</v>
      </c>
      <c r="AT116" s="1" t="s">
        <v>377</v>
      </c>
      <c r="AU116" s="1" t="s">
        <v>378</v>
      </c>
      <c r="AV116" s="1" t="s">
        <v>377</v>
      </c>
      <c r="AW116" s="1" t="s">
        <v>394</v>
      </c>
      <c r="AX116" s="1" t="s">
        <v>377</v>
      </c>
      <c r="AY116" s="1" t="s">
        <v>394</v>
      </c>
      <c r="AZ116" s="1" t="s">
        <v>394</v>
      </c>
      <c r="BA116" s="1" t="s">
        <v>825</v>
      </c>
      <c r="BB116" s="1" t="s">
        <v>377</v>
      </c>
      <c r="BC116" s="1" t="s">
        <v>377</v>
      </c>
      <c r="BD116" s="1" t="s">
        <v>377</v>
      </c>
      <c r="BE116" s="1" t="s">
        <v>378</v>
      </c>
      <c r="BF116" s="1" t="s">
        <v>394</v>
      </c>
      <c r="BH116" s="1" t="s">
        <v>785</v>
      </c>
      <c r="BI116" s="1" t="s">
        <v>394</v>
      </c>
      <c r="BJ116" s="1" t="s">
        <v>394</v>
      </c>
      <c r="BK116" s="1" t="s">
        <v>394</v>
      </c>
    </row>
    <row r="117" spans="1:63" x14ac:dyDescent="0.25">
      <c r="A117" s="1">
        <v>117</v>
      </c>
      <c r="B117" s="1" t="s">
        <v>183</v>
      </c>
      <c r="C117" s="1" t="s">
        <v>668</v>
      </c>
      <c r="D117" s="1" t="s">
        <v>669</v>
      </c>
      <c r="E117" s="1" t="s">
        <v>8</v>
      </c>
      <c r="F117" s="1" t="s">
        <v>667</v>
      </c>
      <c r="G117" s="1" t="s">
        <v>56</v>
      </c>
      <c r="H117" s="1">
        <v>2019</v>
      </c>
      <c r="I117" s="1" t="s">
        <v>212</v>
      </c>
      <c r="J117" s="1" t="s">
        <v>51</v>
      </c>
      <c r="K117" s="1">
        <v>53</v>
      </c>
      <c r="L117" s="1" t="s">
        <v>475</v>
      </c>
      <c r="M117" s="1" t="s">
        <v>765</v>
      </c>
      <c r="N117" s="1" t="s">
        <v>466</v>
      </c>
      <c r="O117" s="1" t="s">
        <v>44</v>
      </c>
      <c r="P117" s="1" t="s">
        <v>20</v>
      </c>
      <c r="Q117" s="1" t="s">
        <v>466</v>
      </c>
      <c r="R117" s="1" t="s">
        <v>47</v>
      </c>
      <c r="S117" s="1" t="s">
        <v>21</v>
      </c>
      <c r="T117" s="1" t="s">
        <v>43</v>
      </c>
      <c r="U117" s="1" t="s">
        <v>209</v>
      </c>
      <c r="V117" s="1" t="s">
        <v>44</v>
      </c>
      <c r="W117" s="1" t="s">
        <v>377</v>
      </c>
      <c r="X117" s="1" t="s">
        <v>394</v>
      </c>
      <c r="Y117" s="1" t="s">
        <v>394</v>
      </c>
      <c r="Z117" s="1" t="s">
        <v>377</v>
      </c>
      <c r="AA117" s="1" t="s">
        <v>394</v>
      </c>
      <c r="AB117" s="3" t="s">
        <v>394</v>
      </c>
      <c r="AC117" s="1" t="str">
        <f t="shared" si="2"/>
        <v>Yes</v>
      </c>
      <c r="AD117" s="1" t="s">
        <v>394</v>
      </c>
      <c r="AE117" s="1" t="s">
        <v>394</v>
      </c>
      <c r="AF117" s="1" t="s">
        <v>394</v>
      </c>
      <c r="AG117" s="1" t="s">
        <v>394</v>
      </c>
      <c r="AH117" s="1" t="s">
        <v>394</v>
      </c>
      <c r="AI117" s="1" t="s">
        <v>394</v>
      </c>
      <c r="AJ117" s="1" t="s">
        <v>394</v>
      </c>
      <c r="AK117" s="1" t="s">
        <v>394</v>
      </c>
      <c r="AL117" s="1" t="s">
        <v>394</v>
      </c>
      <c r="AM117" s="1" t="str">
        <f t="shared" si="3"/>
        <v>OK</v>
      </c>
      <c r="AN117" s="1" t="s">
        <v>383</v>
      </c>
      <c r="AO117" s="1" t="s">
        <v>396</v>
      </c>
      <c r="AP117" s="1" t="s">
        <v>394</v>
      </c>
      <c r="AQ117" s="1" t="s">
        <v>394</v>
      </c>
      <c r="AR117" s="1" t="s">
        <v>394</v>
      </c>
      <c r="AS117" s="1" t="s">
        <v>377</v>
      </c>
      <c r="AT117" s="1" t="s">
        <v>377</v>
      </c>
      <c r="AU117" s="1" t="s">
        <v>394</v>
      </c>
      <c r="AV117" s="1" t="s">
        <v>377</v>
      </c>
      <c r="AW117" s="1" t="s">
        <v>394</v>
      </c>
      <c r="AX117" s="1" t="s">
        <v>377</v>
      </c>
      <c r="AY117" s="1" t="s">
        <v>394</v>
      </c>
      <c r="AZ117" s="1" t="s">
        <v>394</v>
      </c>
      <c r="BA117" s="1" t="s">
        <v>394</v>
      </c>
      <c r="BB117" s="1" t="s">
        <v>377</v>
      </c>
      <c r="BC117" s="1" t="s">
        <v>377</v>
      </c>
      <c r="BD117" s="1" t="s">
        <v>377</v>
      </c>
      <c r="BE117" s="1" t="s">
        <v>394</v>
      </c>
      <c r="BF117" s="1" t="s">
        <v>394</v>
      </c>
      <c r="BH117" s="1" t="s">
        <v>785</v>
      </c>
      <c r="BI117" s="1" t="s">
        <v>394</v>
      </c>
      <c r="BJ117" s="1" t="s">
        <v>394</v>
      </c>
      <c r="BK117" s="1" t="s">
        <v>394</v>
      </c>
    </row>
    <row r="118" spans="1:63" x14ac:dyDescent="0.25">
      <c r="A118" s="1">
        <v>118</v>
      </c>
      <c r="B118" s="1" t="s">
        <v>184</v>
      </c>
      <c r="C118" s="1" t="s">
        <v>671</v>
      </c>
      <c r="D118" s="1" t="s">
        <v>44</v>
      </c>
      <c r="E118" s="1" t="s">
        <v>8</v>
      </c>
      <c r="F118" s="1" t="s">
        <v>670</v>
      </c>
      <c r="G118" s="1" t="s">
        <v>56</v>
      </c>
      <c r="H118" s="1">
        <v>2014</v>
      </c>
      <c r="I118" s="1" t="s">
        <v>212</v>
      </c>
      <c r="J118" s="1" t="s">
        <v>51</v>
      </c>
      <c r="K118" s="1">
        <v>172</v>
      </c>
      <c r="L118" s="1" t="s">
        <v>475</v>
      </c>
      <c r="M118" s="1" t="s">
        <v>766</v>
      </c>
      <c r="N118" s="1" t="s">
        <v>466</v>
      </c>
      <c r="O118" s="1" t="s">
        <v>44</v>
      </c>
      <c r="P118" s="1" t="s">
        <v>20</v>
      </c>
      <c r="Q118" s="1" t="s">
        <v>466</v>
      </c>
      <c r="R118" s="1" t="s">
        <v>47</v>
      </c>
      <c r="S118" s="1" t="s">
        <v>21</v>
      </c>
      <c r="T118" s="1" t="s">
        <v>43</v>
      </c>
      <c r="U118" s="1" t="s">
        <v>209</v>
      </c>
      <c r="V118" s="1" t="s">
        <v>44</v>
      </c>
      <c r="W118" s="1" t="s">
        <v>377</v>
      </c>
      <c r="X118" s="1" t="s">
        <v>394</v>
      </c>
      <c r="Y118" s="1" t="s">
        <v>394</v>
      </c>
      <c r="Z118" s="1" t="s">
        <v>377</v>
      </c>
      <c r="AA118" s="1" t="s">
        <v>394</v>
      </c>
      <c r="AB118" s="3" t="s">
        <v>394</v>
      </c>
      <c r="AC118" s="1" t="str">
        <f t="shared" si="2"/>
        <v>Yes</v>
      </c>
      <c r="AD118" s="1" t="s">
        <v>394</v>
      </c>
      <c r="AE118" s="1" t="s">
        <v>394</v>
      </c>
      <c r="AF118" s="1" t="s">
        <v>394</v>
      </c>
      <c r="AG118" s="1" t="s">
        <v>394</v>
      </c>
      <c r="AH118" s="1" t="s">
        <v>394</v>
      </c>
      <c r="AI118" s="1" t="s">
        <v>394</v>
      </c>
      <c r="AJ118" s="1" t="s">
        <v>394</v>
      </c>
      <c r="AK118" s="1" t="s">
        <v>394</v>
      </c>
      <c r="AL118" s="1" t="s">
        <v>394</v>
      </c>
      <c r="AM118" s="1" t="str">
        <f t="shared" si="3"/>
        <v>OK</v>
      </c>
      <c r="AN118" s="1" t="s">
        <v>383</v>
      </c>
      <c r="AO118" s="1" t="s">
        <v>384</v>
      </c>
      <c r="AP118" s="1" t="s">
        <v>394</v>
      </c>
      <c r="AQ118" s="1" t="s">
        <v>394</v>
      </c>
      <c r="AR118" s="1" t="s">
        <v>394</v>
      </c>
      <c r="AS118" s="1" t="s">
        <v>377</v>
      </c>
      <c r="AT118" s="1" t="s">
        <v>377</v>
      </c>
      <c r="AU118" s="1" t="s">
        <v>377</v>
      </c>
      <c r="AV118" s="1" t="s">
        <v>377</v>
      </c>
      <c r="AW118" s="1" t="s">
        <v>394</v>
      </c>
      <c r="AX118" s="1" t="s">
        <v>378</v>
      </c>
      <c r="AY118" s="1" t="s">
        <v>394</v>
      </c>
      <c r="AZ118" s="1" t="s">
        <v>394</v>
      </c>
      <c r="BA118" s="1" t="s">
        <v>825</v>
      </c>
      <c r="BB118" s="1" t="s">
        <v>377</v>
      </c>
      <c r="BC118" s="1" t="s">
        <v>377</v>
      </c>
      <c r="BD118" s="1" t="s">
        <v>377</v>
      </c>
      <c r="BE118" s="1" t="s">
        <v>394</v>
      </c>
      <c r="BF118" s="1" t="s">
        <v>377</v>
      </c>
      <c r="BH118" s="1" t="s">
        <v>785</v>
      </c>
      <c r="BI118" s="1" t="s">
        <v>394</v>
      </c>
      <c r="BJ118" s="1" t="s">
        <v>394</v>
      </c>
      <c r="BK118" s="1" t="s">
        <v>377</v>
      </c>
    </row>
    <row r="119" spans="1:63" x14ac:dyDescent="0.25">
      <c r="A119" s="1">
        <v>119</v>
      </c>
      <c r="B119" s="1" t="s">
        <v>185</v>
      </c>
      <c r="C119" s="1" t="s">
        <v>674</v>
      </c>
      <c r="D119" s="1" t="s">
        <v>44</v>
      </c>
      <c r="E119" s="1" t="s">
        <v>8</v>
      </c>
      <c r="F119" s="1" t="s">
        <v>673</v>
      </c>
      <c r="G119" s="1" t="s">
        <v>767</v>
      </c>
      <c r="H119" s="1">
        <v>2017</v>
      </c>
      <c r="I119" s="1" t="s">
        <v>212</v>
      </c>
      <c r="J119" s="1" t="s">
        <v>51</v>
      </c>
      <c r="K119" s="1">
        <v>222</v>
      </c>
      <c r="L119" s="1" t="s">
        <v>475</v>
      </c>
      <c r="M119" s="1" t="s">
        <v>768</v>
      </c>
      <c r="N119" s="1" t="s">
        <v>466</v>
      </c>
      <c r="O119" s="1" t="s">
        <v>44</v>
      </c>
      <c r="P119" s="1" t="s">
        <v>20</v>
      </c>
      <c r="Q119" s="1" t="s">
        <v>466</v>
      </c>
      <c r="R119" s="1" t="s">
        <v>47</v>
      </c>
      <c r="S119" s="1" t="s">
        <v>21</v>
      </c>
      <c r="T119" s="1" t="s">
        <v>43</v>
      </c>
      <c r="U119" s="1" t="s">
        <v>209</v>
      </c>
      <c r="V119" s="1" t="s">
        <v>672</v>
      </c>
      <c r="W119" s="1" t="s">
        <v>377</v>
      </c>
      <c r="X119" s="1" t="s">
        <v>377</v>
      </c>
      <c r="Y119" s="1" t="s">
        <v>394</v>
      </c>
      <c r="Z119" s="1" t="s">
        <v>377</v>
      </c>
      <c r="AA119" s="1" t="s">
        <v>394</v>
      </c>
      <c r="AB119" s="3" t="s">
        <v>394</v>
      </c>
      <c r="AC119" s="1" t="str">
        <f t="shared" si="2"/>
        <v>Yes</v>
      </c>
      <c r="AD119" s="1" t="s">
        <v>394</v>
      </c>
      <c r="AE119" s="1" t="s">
        <v>394</v>
      </c>
      <c r="AF119" s="1" t="s">
        <v>394</v>
      </c>
      <c r="AG119" s="1" t="s">
        <v>394</v>
      </c>
      <c r="AH119" s="1" t="s">
        <v>394</v>
      </c>
      <c r="AI119" s="1" t="s">
        <v>394</v>
      </c>
      <c r="AJ119" s="1" t="s">
        <v>394</v>
      </c>
      <c r="AK119" s="1" t="s">
        <v>394</v>
      </c>
      <c r="AL119" s="1" t="s">
        <v>394</v>
      </c>
      <c r="AM119" s="1" t="str">
        <f t="shared" si="3"/>
        <v>OK</v>
      </c>
      <c r="AN119" s="1" t="s">
        <v>383</v>
      </c>
      <c r="AO119" s="1" t="s">
        <v>384</v>
      </c>
      <c r="AP119" s="1" t="s">
        <v>394</v>
      </c>
      <c r="AQ119" s="1" t="s">
        <v>394</v>
      </c>
      <c r="AR119" s="1" t="s">
        <v>394</v>
      </c>
      <c r="AS119" s="1" t="s">
        <v>377</v>
      </c>
      <c r="AT119" s="1" t="s">
        <v>377</v>
      </c>
      <c r="AU119" s="1" t="s">
        <v>377</v>
      </c>
      <c r="AV119" s="1" t="s">
        <v>377</v>
      </c>
      <c r="AW119" s="1" t="s">
        <v>394</v>
      </c>
      <c r="AX119" s="1" t="s">
        <v>377</v>
      </c>
      <c r="AY119" s="1" t="s">
        <v>394</v>
      </c>
      <c r="AZ119" s="1" t="s">
        <v>394</v>
      </c>
      <c r="BA119" s="1" t="s">
        <v>394</v>
      </c>
      <c r="BB119" s="1" t="s">
        <v>377</v>
      </c>
      <c r="BC119" s="1" t="s">
        <v>377</v>
      </c>
      <c r="BD119" s="1" t="s">
        <v>377</v>
      </c>
      <c r="BE119" s="1" t="s">
        <v>378</v>
      </c>
      <c r="BF119" s="1" t="s">
        <v>377</v>
      </c>
      <c r="BH119" s="1" t="s">
        <v>785</v>
      </c>
      <c r="BI119" s="1" t="s">
        <v>394</v>
      </c>
      <c r="BJ119" s="1" t="s">
        <v>394</v>
      </c>
      <c r="BK119" s="1" t="s">
        <v>394</v>
      </c>
    </row>
    <row r="120" spans="1:63" x14ac:dyDescent="0.25">
      <c r="A120" s="1">
        <v>120</v>
      </c>
      <c r="B120" s="1" t="s">
        <v>186</v>
      </c>
      <c r="C120" s="1" t="s">
        <v>676</v>
      </c>
      <c r="D120" s="1" t="s">
        <v>44</v>
      </c>
      <c r="E120" s="1" t="s">
        <v>8</v>
      </c>
      <c r="F120" s="1" t="s">
        <v>675</v>
      </c>
      <c r="G120" s="1" t="s">
        <v>420</v>
      </c>
      <c r="H120" s="1">
        <v>2016</v>
      </c>
      <c r="I120" s="1" t="s">
        <v>34</v>
      </c>
      <c r="J120" s="1" t="s">
        <v>51</v>
      </c>
      <c r="K120" s="1">
        <v>147</v>
      </c>
      <c r="L120" s="1" t="s">
        <v>475</v>
      </c>
      <c r="M120" s="1" t="s">
        <v>47</v>
      </c>
      <c r="N120" s="1" t="s">
        <v>466</v>
      </c>
      <c r="O120" s="1" t="s">
        <v>44</v>
      </c>
      <c r="P120" s="1" t="s">
        <v>20</v>
      </c>
      <c r="Q120" s="1" t="s">
        <v>466</v>
      </c>
      <c r="R120" s="1" t="s">
        <v>47</v>
      </c>
      <c r="S120" s="1" t="s">
        <v>21</v>
      </c>
      <c r="T120" s="1" t="s">
        <v>43</v>
      </c>
      <c r="U120" s="1" t="s">
        <v>209</v>
      </c>
      <c r="V120" s="1" t="s">
        <v>44</v>
      </c>
      <c r="W120" s="1" t="s">
        <v>377</v>
      </c>
      <c r="X120" s="1" t="s">
        <v>394</v>
      </c>
      <c r="Y120" s="1" t="s">
        <v>394</v>
      </c>
      <c r="Z120" s="1" t="s">
        <v>377</v>
      </c>
      <c r="AA120" s="1" t="s">
        <v>394</v>
      </c>
      <c r="AB120" s="3" t="s">
        <v>394</v>
      </c>
      <c r="AC120" s="1" t="str">
        <f t="shared" si="2"/>
        <v>Yes</v>
      </c>
      <c r="AD120" s="1" t="s">
        <v>394</v>
      </c>
      <c r="AE120" s="1" t="s">
        <v>394</v>
      </c>
      <c r="AF120" s="1" t="s">
        <v>394</v>
      </c>
      <c r="AG120" s="1" t="s">
        <v>394</v>
      </c>
      <c r="AH120" s="1" t="s">
        <v>394</v>
      </c>
      <c r="AI120" s="1" t="s">
        <v>394</v>
      </c>
      <c r="AJ120" s="1" t="s">
        <v>394</v>
      </c>
      <c r="AK120" s="1" t="s">
        <v>394</v>
      </c>
      <c r="AL120" s="1" t="s">
        <v>394</v>
      </c>
      <c r="AM120" s="1" t="str">
        <f t="shared" si="3"/>
        <v>OK</v>
      </c>
      <c r="AN120" s="1" t="s">
        <v>383</v>
      </c>
      <c r="AO120" s="1" t="s">
        <v>405</v>
      </c>
      <c r="AP120" s="1" t="s">
        <v>394</v>
      </c>
      <c r="AQ120" s="1" t="s">
        <v>394</v>
      </c>
      <c r="AR120" s="1" t="s">
        <v>394</v>
      </c>
      <c r="AS120" s="1" t="s">
        <v>377</v>
      </c>
      <c r="AT120" s="1" t="s">
        <v>378</v>
      </c>
      <c r="AU120" s="1" t="s">
        <v>394</v>
      </c>
      <c r="AV120" s="1" t="s">
        <v>377</v>
      </c>
      <c r="AW120" s="1" t="s">
        <v>394</v>
      </c>
      <c r="AX120" s="1" t="s">
        <v>378</v>
      </c>
      <c r="AY120" s="1" t="s">
        <v>394</v>
      </c>
      <c r="AZ120" s="1" t="s">
        <v>394</v>
      </c>
      <c r="BA120" s="1" t="s">
        <v>394</v>
      </c>
      <c r="BB120" s="1" t="s">
        <v>377</v>
      </c>
      <c r="BC120" s="1" t="s">
        <v>377</v>
      </c>
      <c r="BD120" s="1" t="s">
        <v>377</v>
      </c>
      <c r="BE120" s="1" t="s">
        <v>377</v>
      </c>
      <c r="BF120" s="1" t="s">
        <v>394</v>
      </c>
      <c r="BH120" s="1" t="s">
        <v>785</v>
      </c>
      <c r="BI120" s="1" t="s">
        <v>394</v>
      </c>
      <c r="BJ120" s="1" t="s">
        <v>394</v>
      </c>
      <c r="BK120" s="1" t="s">
        <v>394</v>
      </c>
    </row>
    <row r="121" spans="1:63" x14ac:dyDescent="0.25">
      <c r="A121" s="1">
        <v>121</v>
      </c>
      <c r="B121" s="1" t="s">
        <v>187</v>
      </c>
      <c r="C121" s="1" t="s">
        <v>678</v>
      </c>
      <c r="D121" s="1" t="s">
        <v>44</v>
      </c>
      <c r="E121" s="1" t="s">
        <v>8</v>
      </c>
      <c r="F121" s="1" t="s">
        <v>677</v>
      </c>
      <c r="G121" s="1" t="s">
        <v>288</v>
      </c>
      <c r="H121" s="1">
        <v>2022</v>
      </c>
      <c r="I121" s="1" t="s">
        <v>212</v>
      </c>
      <c r="J121" s="1" t="s">
        <v>51</v>
      </c>
      <c r="K121" s="1">
        <v>6145</v>
      </c>
      <c r="L121" s="1" t="s">
        <v>475</v>
      </c>
      <c r="M121" s="1">
        <v>30</v>
      </c>
      <c r="N121" s="1" t="s">
        <v>466</v>
      </c>
      <c r="O121" s="1" t="s">
        <v>44</v>
      </c>
      <c r="P121" s="1" t="s">
        <v>20</v>
      </c>
      <c r="Q121" s="1" t="s">
        <v>466</v>
      </c>
      <c r="R121" s="1" t="s">
        <v>289</v>
      </c>
      <c r="S121" s="1" t="s">
        <v>21</v>
      </c>
      <c r="T121" s="1" t="s">
        <v>43</v>
      </c>
      <c r="U121" s="1" t="s">
        <v>41</v>
      </c>
      <c r="V121" s="1" t="s">
        <v>44</v>
      </c>
      <c r="W121" s="1" t="s">
        <v>394</v>
      </c>
      <c r="X121" s="1" t="s">
        <v>377</v>
      </c>
      <c r="Y121" s="1" t="s">
        <v>394</v>
      </c>
      <c r="Z121" s="1" t="s">
        <v>394</v>
      </c>
      <c r="AA121" s="1" t="s">
        <v>394</v>
      </c>
      <c r="AB121" s="3" t="s">
        <v>394</v>
      </c>
      <c r="AC121" s="1" t="str">
        <f t="shared" si="2"/>
        <v>No</v>
      </c>
      <c r="AD121" s="1" t="s">
        <v>394</v>
      </c>
      <c r="AE121" s="1" t="s">
        <v>394</v>
      </c>
      <c r="AF121" s="1" t="s">
        <v>394</v>
      </c>
      <c r="AG121" s="1" t="s">
        <v>394</v>
      </c>
      <c r="AH121" s="1" t="s">
        <v>394</v>
      </c>
      <c r="AI121" s="1" t="s">
        <v>394</v>
      </c>
      <c r="AJ121" s="1" t="s">
        <v>394</v>
      </c>
      <c r="AK121" s="1" t="s">
        <v>394</v>
      </c>
      <c r="AL121" s="1" t="s">
        <v>394</v>
      </c>
      <c r="AM121" s="1" t="str">
        <f t="shared" si="3"/>
        <v>OK</v>
      </c>
      <c r="AN121" s="1" t="s">
        <v>383</v>
      </c>
      <c r="AO121" s="1" t="s">
        <v>384</v>
      </c>
      <c r="AP121" s="1" t="s">
        <v>394</v>
      </c>
      <c r="AQ121" s="1" t="s">
        <v>394</v>
      </c>
      <c r="AR121" s="1" t="s">
        <v>394</v>
      </c>
      <c r="AS121" s="1" t="s">
        <v>377</v>
      </c>
      <c r="AT121" s="1" t="s">
        <v>377</v>
      </c>
      <c r="AU121" s="1" t="s">
        <v>394</v>
      </c>
      <c r="AV121" s="1" t="s">
        <v>377</v>
      </c>
      <c r="AW121" s="1" t="s">
        <v>377</v>
      </c>
      <c r="AX121" s="1" t="s">
        <v>378</v>
      </c>
      <c r="AY121" s="1" t="s">
        <v>394</v>
      </c>
      <c r="AZ121" s="1" t="s">
        <v>394</v>
      </c>
      <c r="BA121" s="1" t="s">
        <v>394</v>
      </c>
      <c r="BB121" s="1" t="s">
        <v>377</v>
      </c>
      <c r="BC121" s="1" t="s">
        <v>394</v>
      </c>
      <c r="BD121" s="1" t="s">
        <v>394</v>
      </c>
      <c r="BE121" s="1" t="s">
        <v>377</v>
      </c>
      <c r="BF121" s="1" t="s">
        <v>377</v>
      </c>
      <c r="BH121" s="1" t="s">
        <v>785</v>
      </c>
      <c r="BI121" s="1" t="s">
        <v>394</v>
      </c>
      <c r="BJ121" s="1" t="s">
        <v>394</v>
      </c>
      <c r="BK121" s="1" t="s">
        <v>394</v>
      </c>
    </row>
    <row r="122" spans="1:63" x14ac:dyDescent="0.25">
      <c r="A122" s="1">
        <v>122</v>
      </c>
      <c r="B122" s="1" t="s">
        <v>188</v>
      </c>
      <c r="C122" s="1" t="s">
        <v>685</v>
      </c>
      <c r="D122" s="1" t="s">
        <v>44</v>
      </c>
      <c r="E122" s="1" t="s">
        <v>8</v>
      </c>
      <c r="F122" s="1" t="s">
        <v>683</v>
      </c>
      <c r="G122" s="1" t="s">
        <v>684</v>
      </c>
      <c r="H122" s="1">
        <v>2015</v>
      </c>
      <c r="I122" s="1" t="s">
        <v>529</v>
      </c>
      <c r="J122" s="1" t="s">
        <v>51</v>
      </c>
      <c r="K122" s="1">
        <v>243</v>
      </c>
      <c r="L122" s="1" t="s">
        <v>679</v>
      </c>
      <c r="M122" s="1" t="s">
        <v>682</v>
      </c>
      <c r="N122" s="1" t="s">
        <v>680</v>
      </c>
      <c r="O122" s="1" t="s">
        <v>44</v>
      </c>
      <c r="P122" s="1" t="s">
        <v>822</v>
      </c>
      <c r="Q122" s="1" t="s">
        <v>22</v>
      </c>
      <c r="R122" s="1" t="s">
        <v>47</v>
      </c>
      <c r="S122" s="1" t="s">
        <v>57</v>
      </c>
      <c r="T122" s="1" t="s">
        <v>43</v>
      </c>
      <c r="U122" s="1" t="s">
        <v>209</v>
      </c>
      <c r="V122" s="1" t="s">
        <v>681</v>
      </c>
      <c r="W122" s="1" t="s">
        <v>377</v>
      </c>
      <c r="X122" s="1" t="s">
        <v>377</v>
      </c>
      <c r="Y122" s="1" t="s">
        <v>394</v>
      </c>
      <c r="Z122" s="1" t="s">
        <v>394</v>
      </c>
      <c r="AA122" s="1" t="s">
        <v>394</v>
      </c>
      <c r="AB122" s="3" t="s">
        <v>394</v>
      </c>
      <c r="AC122" s="1" t="str">
        <f t="shared" si="2"/>
        <v>No</v>
      </c>
      <c r="AD122" s="1" t="s">
        <v>394</v>
      </c>
      <c r="AE122" s="1" t="s">
        <v>394</v>
      </c>
      <c r="AF122" s="1" t="s">
        <v>394</v>
      </c>
      <c r="AG122" s="1" t="s">
        <v>394</v>
      </c>
      <c r="AH122" s="1" t="s">
        <v>394</v>
      </c>
      <c r="AI122" s="1" t="s">
        <v>394</v>
      </c>
      <c r="AJ122" s="1" t="s">
        <v>394</v>
      </c>
      <c r="AK122" s="1" t="s">
        <v>394</v>
      </c>
      <c r="AL122" s="1" t="s">
        <v>394</v>
      </c>
      <c r="AM122" s="1" t="str">
        <f t="shared" si="3"/>
        <v>OK</v>
      </c>
      <c r="AN122" s="1" t="s">
        <v>383</v>
      </c>
      <c r="AO122" s="1" t="s">
        <v>47</v>
      </c>
      <c r="AP122" s="1" t="s">
        <v>394</v>
      </c>
      <c r="AQ122" s="1" t="s">
        <v>394</v>
      </c>
      <c r="AR122" s="1" t="s">
        <v>394</v>
      </c>
      <c r="AS122" s="1" t="s">
        <v>377</v>
      </c>
      <c r="AT122" s="1" t="s">
        <v>377</v>
      </c>
      <c r="AU122" s="1" t="s">
        <v>394</v>
      </c>
      <c r="AV122" s="1" t="s">
        <v>377</v>
      </c>
      <c r="AW122" s="1" t="s">
        <v>394</v>
      </c>
      <c r="AX122" s="1" t="s">
        <v>377</v>
      </c>
      <c r="AY122" s="1" t="s">
        <v>394</v>
      </c>
      <c r="AZ122" s="1" t="s">
        <v>394</v>
      </c>
      <c r="BA122" s="1" t="s">
        <v>394</v>
      </c>
      <c r="BB122" s="1" t="s">
        <v>377</v>
      </c>
      <c r="BC122" s="1" t="s">
        <v>377</v>
      </c>
      <c r="BD122" s="1" t="s">
        <v>377</v>
      </c>
      <c r="BE122" s="1" t="s">
        <v>377</v>
      </c>
      <c r="BF122" s="1" t="s">
        <v>377</v>
      </c>
      <c r="BH122" s="1" t="s">
        <v>785</v>
      </c>
      <c r="BI122" s="1" t="s">
        <v>394</v>
      </c>
      <c r="BJ122" s="1" t="s">
        <v>394</v>
      </c>
      <c r="BK122" s="1" t="s">
        <v>394</v>
      </c>
    </row>
    <row r="123" spans="1:63" x14ac:dyDescent="0.25">
      <c r="A123" s="1">
        <v>123</v>
      </c>
      <c r="B123" s="1" t="s">
        <v>189</v>
      </c>
      <c r="C123" s="1" t="s">
        <v>687</v>
      </c>
      <c r="D123" s="1" t="s">
        <v>688</v>
      </c>
      <c r="E123" s="1" t="s">
        <v>8</v>
      </c>
      <c r="F123" s="1" t="s">
        <v>686</v>
      </c>
      <c r="G123" s="1" t="s">
        <v>486</v>
      </c>
      <c r="H123" s="1">
        <v>2019</v>
      </c>
      <c r="I123" s="1" t="s">
        <v>28</v>
      </c>
      <c r="J123" s="1" t="s">
        <v>51</v>
      </c>
      <c r="K123" s="1">
        <v>261</v>
      </c>
      <c r="L123" s="1" t="s">
        <v>325</v>
      </c>
      <c r="M123" s="1" t="s">
        <v>47</v>
      </c>
      <c r="N123" s="1" t="s">
        <v>252</v>
      </c>
      <c r="O123" s="1" t="s">
        <v>44</v>
      </c>
      <c r="P123" s="1" t="s">
        <v>20</v>
      </c>
      <c r="Q123" s="1" t="s">
        <v>20</v>
      </c>
      <c r="R123" s="1" t="s">
        <v>47</v>
      </c>
      <c r="S123" s="1" t="s">
        <v>21</v>
      </c>
      <c r="T123" s="1" t="s">
        <v>43</v>
      </c>
      <c r="U123" s="1" t="s">
        <v>595</v>
      </c>
      <c r="V123" s="1" t="s">
        <v>44</v>
      </c>
      <c r="W123" s="1" t="s">
        <v>394</v>
      </c>
      <c r="X123" s="1" t="s">
        <v>394</v>
      </c>
      <c r="Y123" s="1" t="s">
        <v>394</v>
      </c>
      <c r="Z123" s="1" t="s">
        <v>394</v>
      </c>
      <c r="AA123" s="1" t="s">
        <v>394</v>
      </c>
      <c r="AB123" s="3" t="s">
        <v>394</v>
      </c>
      <c r="AC123" s="1" t="str">
        <f t="shared" si="2"/>
        <v>No</v>
      </c>
      <c r="AD123" s="1" t="s">
        <v>394</v>
      </c>
      <c r="AE123" s="1" t="s">
        <v>377</v>
      </c>
      <c r="AF123" s="1" t="s">
        <v>377</v>
      </c>
      <c r="AG123" s="1" t="s">
        <v>394</v>
      </c>
      <c r="AH123" s="1" t="s">
        <v>394</v>
      </c>
      <c r="AI123" s="1" t="s">
        <v>394</v>
      </c>
      <c r="AJ123" s="1" t="s">
        <v>394</v>
      </c>
      <c r="AK123" s="1" t="s">
        <v>394</v>
      </c>
      <c r="AL123" s="1" t="s">
        <v>394</v>
      </c>
      <c r="AM123" s="1" t="str">
        <f t="shared" si="3"/>
        <v>OK</v>
      </c>
      <c r="AN123" s="1" t="s">
        <v>383</v>
      </c>
      <c r="AO123" s="1" t="s">
        <v>396</v>
      </c>
      <c r="AP123" s="1" t="s">
        <v>394</v>
      </c>
      <c r="AQ123" s="1" t="s">
        <v>394</v>
      </c>
      <c r="AR123" s="1" t="s">
        <v>394</v>
      </c>
      <c r="AS123" s="1" t="s">
        <v>377</v>
      </c>
      <c r="AT123" s="1" t="s">
        <v>377</v>
      </c>
      <c r="AU123" s="1" t="s">
        <v>394</v>
      </c>
      <c r="AV123" s="1" t="s">
        <v>378</v>
      </c>
      <c r="AW123" s="1" t="s">
        <v>394</v>
      </c>
      <c r="AX123" s="1" t="s">
        <v>394</v>
      </c>
      <c r="AY123" s="1" t="s">
        <v>394</v>
      </c>
      <c r="AZ123" s="1" t="s">
        <v>394</v>
      </c>
      <c r="BA123" s="1" t="s">
        <v>394</v>
      </c>
      <c r="BB123" s="1" t="s">
        <v>378</v>
      </c>
      <c r="BC123" s="1" t="s">
        <v>394</v>
      </c>
      <c r="BD123" s="1" t="s">
        <v>394</v>
      </c>
      <c r="BE123" s="1" t="s">
        <v>378</v>
      </c>
      <c r="BF123" s="1" t="s">
        <v>377</v>
      </c>
      <c r="BH123" s="1" t="s">
        <v>785</v>
      </c>
      <c r="BI123" s="1" t="s">
        <v>394</v>
      </c>
      <c r="BJ123" s="1" t="s">
        <v>394</v>
      </c>
      <c r="BK123" s="1" t="s">
        <v>377</v>
      </c>
    </row>
    <row r="124" spans="1:63" x14ac:dyDescent="0.25">
      <c r="A124" s="1">
        <v>124</v>
      </c>
      <c r="B124" s="1" t="s">
        <v>190</v>
      </c>
      <c r="C124" s="1" t="s">
        <v>690</v>
      </c>
      <c r="D124" s="1" t="s">
        <v>44</v>
      </c>
      <c r="E124" s="1" t="s">
        <v>8</v>
      </c>
      <c r="F124" s="1" t="s">
        <v>689</v>
      </c>
      <c r="G124" s="1" t="s">
        <v>48</v>
      </c>
      <c r="H124" s="1">
        <v>2022</v>
      </c>
      <c r="I124" s="1" t="s">
        <v>219</v>
      </c>
      <c r="J124" s="1" t="s">
        <v>51</v>
      </c>
      <c r="K124" s="1">
        <v>257</v>
      </c>
      <c r="L124" s="1" t="s">
        <v>351</v>
      </c>
      <c r="M124" s="1" t="s">
        <v>345</v>
      </c>
      <c r="N124" s="1" t="s">
        <v>350</v>
      </c>
      <c r="O124" s="1" t="s">
        <v>44</v>
      </c>
      <c r="P124" s="1" t="s">
        <v>230</v>
      </c>
      <c r="Q124" s="1" t="s">
        <v>22</v>
      </c>
      <c r="R124" s="1" t="s">
        <v>47</v>
      </c>
      <c r="S124" s="1" t="s">
        <v>57</v>
      </c>
      <c r="T124" s="1" t="s">
        <v>43</v>
      </c>
      <c r="U124" s="1" t="s">
        <v>511</v>
      </c>
      <c r="V124" s="1" t="s">
        <v>44</v>
      </c>
      <c r="W124" s="1" t="s">
        <v>394</v>
      </c>
      <c r="X124" s="1" t="s">
        <v>377</v>
      </c>
      <c r="Y124" s="1" t="s">
        <v>394</v>
      </c>
      <c r="Z124" s="1" t="s">
        <v>394</v>
      </c>
      <c r="AA124" s="1" t="s">
        <v>394</v>
      </c>
      <c r="AB124" s="3" t="s">
        <v>394</v>
      </c>
      <c r="AC124" s="1" t="str">
        <f t="shared" si="2"/>
        <v>No</v>
      </c>
      <c r="AD124" s="1" t="s">
        <v>394</v>
      </c>
      <c r="AE124" s="1" t="s">
        <v>394</v>
      </c>
      <c r="AF124" s="1" t="s">
        <v>394</v>
      </c>
      <c r="AG124" s="1" t="s">
        <v>394</v>
      </c>
      <c r="AH124" s="1" t="s">
        <v>394</v>
      </c>
      <c r="AI124" s="1" t="s">
        <v>394</v>
      </c>
      <c r="AJ124" s="1" t="s">
        <v>394</v>
      </c>
      <c r="AK124" s="1" t="s">
        <v>394</v>
      </c>
      <c r="AL124" s="1" t="s">
        <v>394</v>
      </c>
      <c r="AM124" s="1" t="str">
        <f t="shared" si="3"/>
        <v>OK</v>
      </c>
      <c r="AN124" s="1" t="s">
        <v>383</v>
      </c>
      <c r="AO124" s="1" t="s">
        <v>387</v>
      </c>
      <c r="AP124" s="1" t="s">
        <v>394</v>
      </c>
      <c r="AQ124" s="1" t="s">
        <v>394</v>
      </c>
      <c r="AR124" s="1" t="s">
        <v>394</v>
      </c>
      <c r="AS124" s="1" t="s">
        <v>377</v>
      </c>
      <c r="AT124" s="1" t="s">
        <v>377</v>
      </c>
      <c r="AU124" s="1" t="s">
        <v>394</v>
      </c>
      <c r="AV124" s="1" t="s">
        <v>377</v>
      </c>
      <c r="AW124" s="1" t="s">
        <v>394</v>
      </c>
      <c r="AX124" s="1" t="s">
        <v>377</v>
      </c>
      <c r="AY124" s="1" t="s">
        <v>394</v>
      </c>
      <c r="AZ124" s="1" t="s">
        <v>394</v>
      </c>
      <c r="BA124" s="1" t="s">
        <v>394</v>
      </c>
      <c r="BB124" s="1" t="s">
        <v>377</v>
      </c>
      <c r="BC124" s="1" t="s">
        <v>377</v>
      </c>
      <c r="BD124" s="1" t="s">
        <v>377</v>
      </c>
      <c r="BE124" s="1" t="s">
        <v>377</v>
      </c>
      <c r="BF124" s="1" t="s">
        <v>377</v>
      </c>
      <c r="BH124" s="1" t="s">
        <v>785</v>
      </c>
      <c r="BI124" s="1" t="s">
        <v>394</v>
      </c>
      <c r="BJ124" s="1" t="s">
        <v>394</v>
      </c>
      <c r="BK124" s="1" t="s">
        <v>394</v>
      </c>
    </row>
    <row r="125" spans="1:63" x14ac:dyDescent="0.25">
      <c r="A125" s="1">
        <v>125</v>
      </c>
      <c r="B125" s="1" t="s">
        <v>191</v>
      </c>
      <c r="C125" s="1" t="s">
        <v>694</v>
      </c>
      <c r="D125" s="1" t="s">
        <v>44</v>
      </c>
      <c r="E125" s="1" t="s">
        <v>8</v>
      </c>
      <c r="F125" s="1" t="s">
        <v>693</v>
      </c>
      <c r="G125" s="1" t="s">
        <v>56</v>
      </c>
      <c r="H125" s="1">
        <v>2017</v>
      </c>
      <c r="I125" s="1" t="s">
        <v>692</v>
      </c>
      <c r="J125" s="1" t="s">
        <v>51</v>
      </c>
      <c r="K125" s="1">
        <v>105</v>
      </c>
      <c r="L125" s="1" t="s">
        <v>475</v>
      </c>
      <c r="M125" s="1" t="s">
        <v>691</v>
      </c>
      <c r="N125" s="1" t="s">
        <v>466</v>
      </c>
      <c r="O125" s="1" t="s">
        <v>44</v>
      </c>
      <c r="P125" s="1" t="s">
        <v>20</v>
      </c>
      <c r="Q125" s="1" t="s">
        <v>466</v>
      </c>
      <c r="R125" s="1" t="s">
        <v>47</v>
      </c>
      <c r="S125" s="1" t="s">
        <v>21</v>
      </c>
      <c r="T125" s="1" t="s">
        <v>43</v>
      </c>
      <c r="U125" s="1" t="s">
        <v>209</v>
      </c>
      <c r="V125" s="1" t="s">
        <v>681</v>
      </c>
      <c r="W125" s="1" t="s">
        <v>377</v>
      </c>
      <c r="X125" s="1" t="s">
        <v>377</v>
      </c>
      <c r="Y125" s="1" t="s">
        <v>394</v>
      </c>
      <c r="Z125" s="1" t="s">
        <v>377</v>
      </c>
      <c r="AA125" s="1" t="s">
        <v>394</v>
      </c>
      <c r="AB125" s="3" t="s">
        <v>394</v>
      </c>
      <c r="AC125" s="1" t="str">
        <f t="shared" si="2"/>
        <v>Yes</v>
      </c>
      <c r="AD125" s="1" t="s">
        <v>394</v>
      </c>
      <c r="AE125" s="1" t="s">
        <v>394</v>
      </c>
      <c r="AF125" s="1" t="s">
        <v>394</v>
      </c>
      <c r="AG125" s="1" t="s">
        <v>394</v>
      </c>
      <c r="AH125" s="1" t="s">
        <v>394</v>
      </c>
      <c r="AI125" s="1" t="s">
        <v>394</v>
      </c>
      <c r="AJ125" s="1" t="s">
        <v>394</v>
      </c>
      <c r="AK125" s="1" t="s">
        <v>394</v>
      </c>
      <c r="AL125" s="1" t="s">
        <v>394</v>
      </c>
      <c r="AM125" s="1" t="str">
        <f t="shared" si="3"/>
        <v>OK</v>
      </c>
      <c r="AN125" s="1" t="s">
        <v>383</v>
      </c>
      <c r="AO125" s="1" t="s">
        <v>396</v>
      </c>
      <c r="AP125" s="1" t="s">
        <v>394</v>
      </c>
      <c r="AQ125" s="1" t="s">
        <v>394</v>
      </c>
      <c r="AR125" s="1" t="s">
        <v>394</v>
      </c>
      <c r="AS125" s="1" t="s">
        <v>377</v>
      </c>
      <c r="AT125" s="1" t="s">
        <v>377</v>
      </c>
      <c r="AU125" s="1" t="s">
        <v>377</v>
      </c>
      <c r="AV125" s="1" t="s">
        <v>377</v>
      </c>
      <c r="AW125" s="1" t="s">
        <v>394</v>
      </c>
      <c r="AX125" s="1" t="s">
        <v>378</v>
      </c>
      <c r="AY125" s="1" t="s">
        <v>394</v>
      </c>
      <c r="AZ125" s="1" t="s">
        <v>394</v>
      </c>
      <c r="BA125" s="1" t="s">
        <v>377</v>
      </c>
      <c r="BB125" s="1" t="s">
        <v>377</v>
      </c>
      <c r="BC125" s="1" t="s">
        <v>377</v>
      </c>
      <c r="BD125" s="1" t="s">
        <v>377</v>
      </c>
      <c r="BE125" s="1" t="s">
        <v>377</v>
      </c>
      <c r="BF125" s="1" t="s">
        <v>377</v>
      </c>
      <c r="BH125" s="1" t="s">
        <v>785</v>
      </c>
      <c r="BI125" s="1" t="s">
        <v>394</v>
      </c>
      <c r="BJ125" s="1" t="s">
        <v>394</v>
      </c>
      <c r="BK125" s="1" t="s">
        <v>394</v>
      </c>
    </row>
    <row r="126" spans="1:63" x14ac:dyDescent="0.25">
      <c r="A126" s="1">
        <v>126</v>
      </c>
      <c r="B126" s="1" t="s">
        <v>192</v>
      </c>
      <c r="C126" s="1" t="s">
        <v>697</v>
      </c>
      <c r="D126" s="1" t="s">
        <v>44</v>
      </c>
      <c r="E126" s="1" t="s">
        <v>8</v>
      </c>
      <c r="F126" s="1" t="s">
        <v>696</v>
      </c>
      <c r="G126" s="1" t="s">
        <v>745</v>
      </c>
      <c r="H126" s="1">
        <v>2017</v>
      </c>
      <c r="I126" s="1" t="s">
        <v>34</v>
      </c>
      <c r="J126" s="1" t="s">
        <v>51</v>
      </c>
      <c r="K126" s="1">
        <v>2671</v>
      </c>
      <c r="L126" s="1" t="s">
        <v>475</v>
      </c>
      <c r="M126" s="1" t="s">
        <v>695</v>
      </c>
      <c r="N126" s="1" t="s">
        <v>466</v>
      </c>
      <c r="O126" s="1" t="s">
        <v>44</v>
      </c>
      <c r="P126" s="1" t="s">
        <v>20</v>
      </c>
      <c r="Q126" s="1" t="s">
        <v>466</v>
      </c>
      <c r="R126" s="1" t="s">
        <v>47</v>
      </c>
      <c r="S126" s="1" t="s">
        <v>21</v>
      </c>
      <c r="T126" s="1" t="s">
        <v>43</v>
      </c>
      <c r="U126" s="1" t="s">
        <v>209</v>
      </c>
      <c r="V126" s="1" t="s">
        <v>681</v>
      </c>
      <c r="W126" s="1" t="s">
        <v>377</v>
      </c>
      <c r="X126" s="1" t="s">
        <v>377</v>
      </c>
      <c r="Y126" s="1" t="s">
        <v>394</v>
      </c>
      <c r="Z126" s="1" t="s">
        <v>394</v>
      </c>
      <c r="AA126" s="1" t="s">
        <v>394</v>
      </c>
      <c r="AB126" s="3" t="s">
        <v>394</v>
      </c>
      <c r="AC126" s="1" t="str">
        <f t="shared" si="2"/>
        <v>No</v>
      </c>
      <c r="AD126" s="1" t="s">
        <v>394</v>
      </c>
      <c r="AE126" s="1" t="s">
        <v>394</v>
      </c>
      <c r="AF126" s="1" t="s">
        <v>394</v>
      </c>
      <c r="AG126" s="1" t="s">
        <v>394</v>
      </c>
      <c r="AH126" s="1" t="s">
        <v>394</v>
      </c>
      <c r="AI126" s="1" t="s">
        <v>394</v>
      </c>
      <c r="AJ126" s="1" t="s">
        <v>394</v>
      </c>
      <c r="AK126" s="1" t="s">
        <v>394</v>
      </c>
      <c r="AL126" s="1" t="s">
        <v>394</v>
      </c>
      <c r="AM126" s="1" t="str">
        <f t="shared" si="3"/>
        <v>OK</v>
      </c>
      <c r="AN126" s="1" t="s">
        <v>383</v>
      </c>
      <c r="AO126" s="1" t="s">
        <v>388</v>
      </c>
      <c r="AP126" s="1" t="s">
        <v>394</v>
      </c>
      <c r="AQ126" s="1" t="s">
        <v>394</v>
      </c>
      <c r="AR126" s="1" t="s">
        <v>394</v>
      </c>
      <c r="AS126" s="1" t="s">
        <v>377</v>
      </c>
      <c r="AT126" s="1" t="s">
        <v>377</v>
      </c>
      <c r="AU126" s="1" t="s">
        <v>377</v>
      </c>
      <c r="AV126" s="1" t="s">
        <v>377</v>
      </c>
      <c r="AW126" s="1" t="s">
        <v>394</v>
      </c>
      <c r="AX126" s="1" t="s">
        <v>378</v>
      </c>
      <c r="AY126" s="1" t="s">
        <v>394</v>
      </c>
      <c r="AZ126" s="1" t="s">
        <v>394</v>
      </c>
      <c r="BA126" s="1" t="s">
        <v>394</v>
      </c>
      <c r="BB126" s="1" t="s">
        <v>377</v>
      </c>
      <c r="BC126" s="1" t="s">
        <v>825</v>
      </c>
      <c r="BD126" s="1" t="s">
        <v>825</v>
      </c>
      <c r="BE126" s="1" t="s">
        <v>377</v>
      </c>
      <c r="BF126" s="1" t="s">
        <v>377</v>
      </c>
      <c r="BH126" s="1" t="s">
        <v>785</v>
      </c>
      <c r="BI126" s="1" t="s">
        <v>394</v>
      </c>
      <c r="BJ126" s="1" t="s">
        <v>394</v>
      </c>
      <c r="BK126" s="1" t="s">
        <v>394</v>
      </c>
    </row>
    <row r="127" spans="1:63" x14ac:dyDescent="0.25">
      <c r="A127" s="1">
        <v>127</v>
      </c>
      <c r="B127" s="1" t="s">
        <v>193</v>
      </c>
      <c r="C127" s="1" t="s">
        <v>699</v>
      </c>
      <c r="D127" s="1" t="s">
        <v>44</v>
      </c>
      <c r="E127" s="1" t="s">
        <v>8</v>
      </c>
      <c r="F127" s="1" t="s">
        <v>698</v>
      </c>
      <c r="G127" s="1" t="s">
        <v>48</v>
      </c>
      <c r="H127" s="1">
        <v>2023</v>
      </c>
      <c r="I127" s="1" t="s">
        <v>219</v>
      </c>
      <c r="J127" s="1" t="s">
        <v>51</v>
      </c>
      <c r="K127" s="1">
        <v>1455</v>
      </c>
      <c r="L127" s="1" t="s">
        <v>351</v>
      </c>
      <c r="M127" s="1" t="s">
        <v>700</v>
      </c>
      <c r="N127" s="1" t="s">
        <v>350</v>
      </c>
      <c r="O127" s="1" t="s">
        <v>44</v>
      </c>
      <c r="P127" s="1" t="s">
        <v>230</v>
      </c>
      <c r="Q127" s="1" t="s">
        <v>20</v>
      </c>
      <c r="R127" s="1" t="s">
        <v>47</v>
      </c>
      <c r="S127" s="1" t="s">
        <v>57</v>
      </c>
      <c r="T127" s="1" t="s">
        <v>43</v>
      </c>
      <c r="U127" s="1" t="s">
        <v>807</v>
      </c>
      <c r="V127" s="1" t="s">
        <v>44</v>
      </c>
      <c r="W127" s="1" t="s">
        <v>394</v>
      </c>
      <c r="X127" s="1" t="s">
        <v>377</v>
      </c>
      <c r="Y127" s="1" t="s">
        <v>394</v>
      </c>
      <c r="Z127" s="1" t="s">
        <v>394</v>
      </c>
      <c r="AA127" s="1" t="s">
        <v>394</v>
      </c>
      <c r="AB127" s="3" t="s">
        <v>394</v>
      </c>
      <c r="AC127" s="1" t="str">
        <f t="shared" si="2"/>
        <v>No</v>
      </c>
      <c r="AD127" s="1" t="s">
        <v>377</v>
      </c>
      <c r="AE127" s="1" t="s">
        <v>394</v>
      </c>
      <c r="AF127" s="1" t="s">
        <v>394</v>
      </c>
      <c r="AG127" s="1" t="s">
        <v>394</v>
      </c>
      <c r="AH127" s="1" t="s">
        <v>394</v>
      </c>
      <c r="AI127" s="1" t="s">
        <v>394</v>
      </c>
      <c r="AJ127" s="1" t="s">
        <v>394</v>
      </c>
      <c r="AK127" s="1" t="s">
        <v>394</v>
      </c>
      <c r="AL127" s="1" t="s">
        <v>394</v>
      </c>
      <c r="AM127" s="1" t="str">
        <f t="shared" si="3"/>
        <v>OK</v>
      </c>
      <c r="AN127" s="1" t="s">
        <v>383</v>
      </c>
      <c r="AO127" s="1" t="s">
        <v>396</v>
      </c>
      <c r="AP127" s="1" t="s">
        <v>394</v>
      </c>
      <c r="AQ127" s="1" t="s">
        <v>394</v>
      </c>
      <c r="AR127" s="1" t="s">
        <v>394</v>
      </c>
      <c r="AS127" s="1" t="s">
        <v>377</v>
      </c>
      <c r="AT127" s="1" t="s">
        <v>377</v>
      </c>
      <c r="AU127" s="1" t="s">
        <v>394</v>
      </c>
      <c r="AV127" s="1" t="s">
        <v>377</v>
      </c>
      <c r="AW127" s="1" t="s">
        <v>394</v>
      </c>
      <c r="AX127" s="1" t="s">
        <v>378</v>
      </c>
      <c r="AY127" s="1" t="s">
        <v>394</v>
      </c>
      <c r="AZ127" s="1" t="s">
        <v>394</v>
      </c>
      <c r="BA127" s="1" t="s">
        <v>394</v>
      </c>
      <c r="BB127" s="1" t="s">
        <v>377</v>
      </c>
      <c r="BC127" s="1" t="s">
        <v>377</v>
      </c>
      <c r="BD127" s="1" t="s">
        <v>377</v>
      </c>
      <c r="BE127" s="1" t="s">
        <v>377</v>
      </c>
      <c r="BF127" s="1" t="s">
        <v>377</v>
      </c>
      <c r="BH127" s="1" t="s">
        <v>785</v>
      </c>
      <c r="BI127" s="1" t="s">
        <v>394</v>
      </c>
      <c r="BJ127" s="1" t="s">
        <v>377</v>
      </c>
      <c r="BK127" s="1" t="s">
        <v>394</v>
      </c>
    </row>
    <row r="128" spans="1:63" x14ac:dyDescent="0.25">
      <c r="A128" s="1">
        <v>128</v>
      </c>
      <c r="B128" s="1" t="s">
        <v>194</v>
      </c>
      <c r="C128" s="1" t="s">
        <v>702</v>
      </c>
      <c r="D128" s="1" t="s">
        <v>703</v>
      </c>
      <c r="E128" s="1" t="s">
        <v>8</v>
      </c>
      <c r="F128" s="1" t="s">
        <v>701</v>
      </c>
      <c r="G128" s="1" t="s">
        <v>56</v>
      </c>
      <c r="H128" s="1">
        <v>2017</v>
      </c>
      <c r="I128" s="1" t="s">
        <v>212</v>
      </c>
      <c r="J128" s="1" t="s">
        <v>51</v>
      </c>
      <c r="K128" s="1">
        <v>4087</v>
      </c>
      <c r="L128" s="1" t="s">
        <v>475</v>
      </c>
      <c r="M128" s="1" t="s">
        <v>769</v>
      </c>
      <c r="N128" s="1" t="s">
        <v>466</v>
      </c>
      <c r="O128" s="1" t="s">
        <v>44</v>
      </c>
      <c r="P128" s="1" t="s">
        <v>20</v>
      </c>
      <c r="Q128" s="1" t="s">
        <v>466</v>
      </c>
      <c r="R128" s="1" t="s">
        <v>760</v>
      </c>
      <c r="S128" s="1" t="s">
        <v>21</v>
      </c>
      <c r="T128" s="1" t="s">
        <v>8</v>
      </c>
      <c r="U128" s="1" t="s">
        <v>62</v>
      </c>
      <c r="V128" s="1" t="s">
        <v>44</v>
      </c>
      <c r="W128" s="1" t="s">
        <v>377</v>
      </c>
      <c r="X128" s="1" t="s">
        <v>377</v>
      </c>
      <c r="Y128" s="1" t="s">
        <v>394</v>
      </c>
      <c r="Z128" s="1" t="s">
        <v>377</v>
      </c>
      <c r="AA128" s="1" t="s">
        <v>394</v>
      </c>
      <c r="AB128" s="3" t="s">
        <v>394</v>
      </c>
      <c r="AC128" s="1" t="str">
        <f t="shared" si="2"/>
        <v>Yes</v>
      </c>
      <c r="AD128" s="1" t="s">
        <v>394</v>
      </c>
      <c r="AE128" s="1" t="s">
        <v>394</v>
      </c>
      <c r="AF128" s="1" t="s">
        <v>394</v>
      </c>
      <c r="AG128" s="1" t="s">
        <v>394</v>
      </c>
      <c r="AH128" s="1" t="s">
        <v>394</v>
      </c>
      <c r="AI128" s="1" t="s">
        <v>394</v>
      </c>
      <c r="AJ128" s="1" t="s">
        <v>394</v>
      </c>
      <c r="AK128" s="1" t="s">
        <v>394</v>
      </c>
      <c r="AL128" s="1" t="s">
        <v>394</v>
      </c>
      <c r="AM128" s="1" t="str">
        <f t="shared" si="3"/>
        <v>OK</v>
      </c>
      <c r="AN128" s="1" t="s">
        <v>383</v>
      </c>
      <c r="AO128" s="1" t="s">
        <v>388</v>
      </c>
      <c r="AP128" s="1" t="s">
        <v>394</v>
      </c>
      <c r="AQ128" s="1" t="s">
        <v>394</v>
      </c>
      <c r="AR128" s="1" t="s">
        <v>394</v>
      </c>
      <c r="AS128" s="1" t="s">
        <v>377</v>
      </c>
      <c r="AT128" s="1" t="s">
        <v>377</v>
      </c>
      <c r="AU128" s="1" t="s">
        <v>377</v>
      </c>
      <c r="AV128" s="1" t="s">
        <v>377</v>
      </c>
      <c r="AW128" s="1" t="s">
        <v>377</v>
      </c>
      <c r="AX128" s="1" t="s">
        <v>377</v>
      </c>
      <c r="AY128" s="1" t="s">
        <v>394</v>
      </c>
      <c r="AZ128" s="1" t="s">
        <v>394</v>
      </c>
      <c r="BA128" s="1" t="s">
        <v>825</v>
      </c>
      <c r="BB128" s="1" t="s">
        <v>377</v>
      </c>
      <c r="BC128" s="1" t="s">
        <v>377</v>
      </c>
      <c r="BD128" s="1" t="s">
        <v>377</v>
      </c>
      <c r="BE128" s="1" t="s">
        <v>825</v>
      </c>
      <c r="BF128" s="1" t="s">
        <v>377</v>
      </c>
      <c r="BH128" s="1" t="s">
        <v>785</v>
      </c>
      <c r="BI128" s="1" t="s">
        <v>394</v>
      </c>
      <c r="BJ128" s="1" t="s">
        <v>394</v>
      </c>
      <c r="BK128" s="1" t="s">
        <v>394</v>
      </c>
    </row>
    <row r="129" spans="1:63" x14ac:dyDescent="0.25">
      <c r="A129" s="1">
        <v>129</v>
      </c>
      <c r="B129" s="1" t="s">
        <v>195</v>
      </c>
      <c r="C129" s="1" t="s">
        <v>708</v>
      </c>
      <c r="D129" s="1" t="s">
        <v>709</v>
      </c>
      <c r="E129" s="1" t="s">
        <v>43</v>
      </c>
      <c r="F129" s="1" t="s">
        <v>707</v>
      </c>
      <c r="G129" s="1" t="s">
        <v>68</v>
      </c>
      <c r="H129" s="1">
        <v>2021</v>
      </c>
      <c r="I129" s="1" t="s">
        <v>706</v>
      </c>
      <c r="J129" s="1" t="s">
        <v>51</v>
      </c>
      <c r="K129" s="1">
        <v>8362</v>
      </c>
      <c r="L129" s="1" t="s">
        <v>704</v>
      </c>
      <c r="M129" s="1" t="s">
        <v>63</v>
      </c>
      <c r="N129" s="1" t="s">
        <v>393</v>
      </c>
      <c r="O129" s="1" t="s">
        <v>44</v>
      </c>
      <c r="P129" s="1" t="s">
        <v>20</v>
      </c>
      <c r="Q129" s="1" t="s">
        <v>20</v>
      </c>
      <c r="R129" s="1" t="s">
        <v>705</v>
      </c>
      <c r="S129" s="1" t="s">
        <v>57</v>
      </c>
      <c r="T129" s="1" t="s">
        <v>43</v>
      </c>
      <c r="U129" s="1" t="s">
        <v>711</v>
      </c>
      <c r="V129" s="1" t="s">
        <v>44</v>
      </c>
      <c r="W129" s="1" t="s">
        <v>394</v>
      </c>
      <c r="X129" s="1" t="s">
        <v>394</v>
      </c>
      <c r="Y129" s="1" t="s">
        <v>394</v>
      </c>
      <c r="Z129" s="1" t="s">
        <v>394</v>
      </c>
      <c r="AA129" s="1" t="s">
        <v>394</v>
      </c>
      <c r="AB129" s="3" t="s">
        <v>394</v>
      </c>
      <c r="AC129" s="1" t="str">
        <f t="shared" si="2"/>
        <v>No</v>
      </c>
      <c r="AD129" s="1" t="s">
        <v>394</v>
      </c>
      <c r="AE129" s="1" t="s">
        <v>394</v>
      </c>
      <c r="AF129" s="1" t="s">
        <v>394</v>
      </c>
      <c r="AG129" s="1" t="s">
        <v>394</v>
      </c>
      <c r="AH129" s="1" t="s">
        <v>394</v>
      </c>
      <c r="AI129" s="1" t="s">
        <v>394</v>
      </c>
      <c r="AJ129" s="1" t="s">
        <v>394</v>
      </c>
      <c r="AK129" s="1" t="s">
        <v>394</v>
      </c>
      <c r="AL129" s="1" t="s">
        <v>377</v>
      </c>
      <c r="AM129" s="1" t="str">
        <f t="shared" si="3"/>
        <v>OK</v>
      </c>
      <c r="AN129" s="1" t="s">
        <v>710</v>
      </c>
      <c r="AO129" s="1" t="s">
        <v>780</v>
      </c>
      <c r="AP129" s="1" t="s">
        <v>394</v>
      </c>
      <c r="AQ129" s="1" t="s">
        <v>377</v>
      </c>
      <c r="AR129" s="1" t="s">
        <v>377</v>
      </c>
      <c r="AS129" s="1" t="s">
        <v>377</v>
      </c>
      <c r="AT129" s="1" t="s">
        <v>377</v>
      </c>
      <c r="AU129" s="1" t="s">
        <v>394</v>
      </c>
      <c r="AV129" s="1" t="s">
        <v>377</v>
      </c>
      <c r="AW129" s="1" t="s">
        <v>394</v>
      </c>
      <c r="AX129" s="1" t="s">
        <v>377</v>
      </c>
      <c r="AY129" s="1" t="s">
        <v>394</v>
      </c>
      <c r="AZ129" s="1" t="s">
        <v>394</v>
      </c>
      <c r="BA129" s="1" t="s">
        <v>394</v>
      </c>
      <c r="BB129" s="1" t="s">
        <v>377</v>
      </c>
      <c r="BC129" s="1" t="s">
        <v>377</v>
      </c>
      <c r="BD129" s="1" t="s">
        <v>394</v>
      </c>
      <c r="BE129" s="1" t="s">
        <v>377</v>
      </c>
      <c r="BF129" s="1" t="s">
        <v>394</v>
      </c>
      <c r="BH129" s="1" t="s">
        <v>785</v>
      </c>
      <c r="BI129" s="1" t="s">
        <v>394</v>
      </c>
      <c r="BJ129" s="1" t="s">
        <v>377</v>
      </c>
      <c r="BK129" s="1" t="s">
        <v>394</v>
      </c>
    </row>
    <row r="130" spans="1:63" x14ac:dyDescent="0.25">
      <c r="A130" s="1">
        <v>130</v>
      </c>
      <c r="B130" s="1" t="s">
        <v>196</v>
      </c>
      <c r="C130" s="1" t="s">
        <v>713</v>
      </c>
      <c r="D130" s="1" t="s">
        <v>44</v>
      </c>
      <c r="E130" s="1" t="s">
        <v>8</v>
      </c>
      <c r="F130" s="1" t="s">
        <v>712</v>
      </c>
      <c r="G130" s="1" t="s">
        <v>56</v>
      </c>
      <c r="H130" s="1">
        <v>2022</v>
      </c>
      <c r="I130" s="1" t="s">
        <v>212</v>
      </c>
      <c r="J130" s="1" t="s">
        <v>51</v>
      </c>
      <c r="K130" s="1">
        <v>2077</v>
      </c>
      <c r="L130" s="1" t="s">
        <v>645</v>
      </c>
      <c r="M130" s="1" t="s">
        <v>47</v>
      </c>
      <c r="N130" s="1" t="s">
        <v>811</v>
      </c>
      <c r="O130" s="1" t="s">
        <v>241</v>
      </c>
      <c r="P130" s="1" t="s">
        <v>20</v>
      </c>
      <c r="Q130" s="1" t="s">
        <v>20</v>
      </c>
      <c r="R130" s="1" t="s">
        <v>47</v>
      </c>
      <c r="S130" s="1" t="s">
        <v>21</v>
      </c>
      <c r="T130" s="1" t="s">
        <v>43</v>
      </c>
      <c r="U130" s="1" t="s">
        <v>41</v>
      </c>
      <c r="V130" s="1" t="s">
        <v>714</v>
      </c>
      <c r="W130" s="1" t="s">
        <v>377</v>
      </c>
      <c r="X130" s="1" t="s">
        <v>377</v>
      </c>
      <c r="Y130" s="1" t="s">
        <v>394</v>
      </c>
      <c r="Z130" s="1" t="s">
        <v>377</v>
      </c>
      <c r="AA130" s="1" t="s">
        <v>394</v>
      </c>
      <c r="AB130" s="3" t="s">
        <v>394</v>
      </c>
      <c r="AC130" s="1" t="str">
        <f t="shared" si="2"/>
        <v>Yes</v>
      </c>
      <c r="AD130" s="1" t="s">
        <v>394</v>
      </c>
      <c r="AE130" s="1" t="s">
        <v>394</v>
      </c>
      <c r="AF130" s="1" t="s">
        <v>394</v>
      </c>
      <c r="AG130" s="1" t="s">
        <v>394</v>
      </c>
      <c r="AH130" s="1" t="s">
        <v>394</v>
      </c>
      <c r="AI130" s="1" t="s">
        <v>394</v>
      </c>
      <c r="AJ130" s="1" t="s">
        <v>394</v>
      </c>
      <c r="AK130" s="1" t="s">
        <v>394</v>
      </c>
      <c r="AL130" s="1" t="s">
        <v>394</v>
      </c>
      <c r="AM130" s="1" t="str">
        <f t="shared" si="3"/>
        <v>OK</v>
      </c>
      <c r="AN130" s="1" t="s">
        <v>383</v>
      </c>
      <c r="AO130" s="1" t="s">
        <v>396</v>
      </c>
      <c r="AP130" s="1" t="s">
        <v>394</v>
      </c>
      <c r="AQ130" s="1" t="s">
        <v>394</v>
      </c>
      <c r="AR130" s="1" t="s">
        <v>394</v>
      </c>
      <c r="AS130" s="1" t="s">
        <v>377</v>
      </c>
      <c r="AT130" s="1" t="s">
        <v>377</v>
      </c>
      <c r="AU130" s="1" t="s">
        <v>377</v>
      </c>
      <c r="AV130" s="1" t="s">
        <v>377</v>
      </c>
      <c r="AW130" s="1" t="s">
        <v>377</v>
      </c>
      <c r="AX130" s="1" t="s">
        <v>377</v>
      </c>
      <c r="AY130" s="1" t="s">
        <v>377</v>
      </c>
      <c r="AZ130" s="1" t="s">
        <v>394</v>
      </c>
      <c r="BA130" s="1" t="s">
        <v>377</v>
      </c>
      <c r="BB130" s="1" t="s">
        <v>377</v>
      </c>
      <c r="BC130" s="1" t="s">
        <v>377</v>
      </c>
      <c r="BD130" s="1" t="s">
        <v>377</v>
      </c>
      <c r="BE130" s="1" t="s">
        <v>377</v>
      </c>
      <c r="BF130" s="1" t="s">
        <v>377</v>
      </c>
      <c r="BH130" s="1" t="s">
        <v>785</v>
      </c>
      <c r="BI130" s="1" t="s">
        <v>394</v>
      </c>
      <c r="BJ130" s="1" t="s">
        <v>394</v>
      </c>
      <c r="BK130" s="1" t="s">
        <v>394</v>
      </c>
    </row>
    <row r="131" spans="1:63" x14ac:dyDescent="0.25">
      <c r="A131" s="1">
        <v>131</v>
      </c>
      <c r="B131" s="1" t="s">
        <v>197</v>
      </c>
      <c r="C131" s="1" t="s">
        <v>716</v>
      </c>
      <c r="D131" s="1" t="s">
        <v>44</v>
      </c>
      <c r="E131" s="1" t="s">
        <v>8</v>
      </c>
      <c r="F131" s="1" t="s">
        <v>715</v>
      </c>
      <c r="G131" s="1" t="s">
        <v>400</v>
      </c>
      <c r="H131" s="1">
        <v>2014</v>
      </c>
      <c r="I131" s="1" t="s">
        <v>34</v>
      </c>
      <c r="J131" s="1" t="s">
        <v>51</v>
      </c>
      <c r="K131" s="1">
        <v>246</v>
      </c>
      <c r="L131" s="1" t="s">
        <v>475</v>
      </c>
      <c r="M131" s="1">
        <v>69</v>
      </c>
      <c r="N131" s="1" t="s">
        <v>466</v>
      </c>
      <c r="O131" s="1" t="s">
        <v>44</v>
      </c>
      <c r="P131" s="1" t="s">
        <v>20</v>
      </c>
      <c r="Q131" s="1" t="s">
        <v>466</v>
      </c>
      <c r="R131" s="1" t="s">
        <v>47</v>
      </c>
      <c r="S131" s="1" t="s">
        <v>21</v>
      </c>
      <c r="T131" s="1" t="s">
        <v>43</v>
      </c>
      <c r="U131" s="1" t="s">
        <v>209</v>
      </c>
      <c r="V131" s="1" t="s">
        <v>44</v>
      </c>
      <c r="W131" s="1" t="s">
        <v>377</v>
      </c>
      <c r="X131" s="1" t="s">
        <v>394</v>
      </c>
      <c r="Y131" s="1" t="s">
        <v>394</v>
      </c>
      <c r="Z131" s="1" t="s">
        <v>394</v>
      </c>
      <c r="AA131" s="1" t="s">
        <v>394</v>
      </c>
      <c r="AB131" s="3" t="s">
        <v>394</v>
      </c>
      <c r="AC131" s="1" t="str">
        <f t="shared" ref="AC131:AC139" si="4">IF(OR(Z131="Yes",AA131="Yes",AB131="Yes"),"Yes","No")</f>
        <v>No</v>
      </c>
      <c r="AD131" s="1" t="s">
        <v>394</v>
      </c>
      <c r="AE131" s="1" t="s">
        <v>394</v>
      </c>
      <c r="AF131" s="1" t="s">
        <v>394</v>
      </c>
      <c r="AG131" s="1" t="s">
        <v>394</v>
      </c>
      <c r="AH131" s="1" t="s">
        <v>394</v>
      </c>
      <c r="AI131" s="1" t="s">
        <v>394</v>
      </c>
      <c r="AJ131" s="1" t="s">
        <v>394</v>
      </c>
      <c r="AK131" s="1" t="s">
        <v>394</v>
      </c>
      <c r="AL131" s="1" t="s">
        <v>394</v>
      </c>
      <c r="AM131" s="1" t="str">
        <f t="shared" ref="AM131:AM139" si="5">IF(COUNTIF(W131:AL131,"Yes")&gt;0,"OK","")</f>
        <v>OK</v>
      </c>
      <c r="AN131" s="1" t="s">
        <v>383</v>
      </c>
      <c r="AO131" s="1" t="s">
        <v>47</v>
      </c>
      <c r="AP131" s="1" t="s">
        <v>394</v>
      </c>
      <c r="AQ131" s="1" t="s">
        <v>394</v>
      </c>
      <c r="AR131" s="1" t="s">
        <v>394</v>
      </c>
      <c r="AS131" s="1" t="s">
        <v>377</v>
      </c>
      <c r="AT131" s="1" t="s">
        <v>377</v>
      </c>
      <c r="AU131" s="1" t="s">
        <v>394</v>
      </c>
      <c r="AV131" s="1" t="s">
        <v>377</v>
      </c>
      <c r="AW131" s="1" t="s">
        <v>394</v>
      </c>
      <c r="AX131" s="1" t="s">
        <v>377</v>
      </c>
      <c r="AY131" s="1" t="s">
        <v>394</v>
      </c>
      <c r="AZ131" s="1" t="s">
        <v>394</v>
      </c>
      <c r="BA131" s="1" t="s">
        <v>825</v>
      </c>
      <c r="BB131" s="1" t="s">
        <v>377</v>
      </c>
      <c r="BC131" s="1" t="s">
        <v>377</v>
      </c>
      <c r="BD131" s="1" t="s">
        <v>394</v>
      </c>
      <c r="BE131" s="1" t="s">
        <v>394</v>
      </c>
      <c r="BF131" s="1" t="s">
        <v>394</v>
      </c>
      <c r="BH131" s="1" t="s">
        <v>785</v>
      </c>
      <c r="BI131" s="1" t="s">
        <v>377</v>
      </c>
      <c r="BJ131" s="1" t="s">
        <v>394</v>
      </c>
      <c r="BK131" s="1" t="s">
        <v>394</v>
      </c>
    </row>
    <row r="132" spans="1:63" x14ac:dyDescent="0.25">
      <c r="A132" s="1">
        <v>132</v>
      </c>
      <c r="B132" s="1" t="s">
        <v>198</v>
      </c>
      <c r="C132" s="1" t="s">
        <v>718</v>
      </c>
      <c r="D132" s="1" t="s">
        <v>44</v>
      </c>
      <c r="E132" s="1" t="s">
        <v>8</v>
      </c>
      <c r="F132" s="1" t="s">
        <v>717</v>
      </c>
      <c r="G132" s="1" t="s">
        <v>420</v>
      </c>
      <c r="H132" s="1">
        <v>2014</v>
      </c>
      <c r="I132" s="1" t="s">
        <v>34</v>
      </c>
      <c r="J132" s="1" t="s">
        <v>51</v>
      </c>
      <c r="K132" s="1">
        <v>23</v>
      </c>
      <c r="L132" s="1" t="s">
        <v>475</v>
      </c>
      <c r="M132" s="1" t="s">
        <v>47</v>
      </c>
      <c r="N132" s="1" t="s">
        <v>466</v>
      </c>
      <c r="O132" s="1" t="s">
        <v>44</v>
      </c>
      <c r="P132" s="1" t="s">
        <v>20</v>
      </c>
      <c r="Q132" s="1" t="s">
        <v>466</v>
      </c>
      <c r="R132" s="1" t="s">
        <v>47</v>
      </c>
      <c r="S132" s="1" t="s">
        <v>21</v>
      </c>
      <c r="T132" s="1" t="s">
        <v>8</v>
      </c>
      <c r="U132" s="1" t="s">
        <v>62</v>
      </c>
      <c r="V132" s="1" t="s">
        <v>44</v>
      </c>
      <c r="W132" s="1" t="s">
        <v>394</v>
      </c>
      <c r="X132" s="1" t="s">
        <v>394</v>
      </c>
      <c r="Y132" s="1" t="s">
        <v>377</v>
      </c>
      <c r="Z132" s="1" t="s">
        <v>394</v>
      </c>
      <c r="AA132" s="1" t="s">
        <v>394</v>
      </c>
      <c r="AB132" s="3" t="s">
        <v>394</v>
      </c>
      <c r="AC132" s="1" t="str">
        <f t="shared" si="4"/>
        <v>No</v>
      </c>
      <c r="AD132" s="1" t="s">
        <v>394</v>
      </c>
      <c r="AE132" s="1" t="s">
        <v>394</v>
      </c>
      <c r="AF132" s="1" t="s">
        <v>394</v>
      </c>
      <c r="AG132" s="1" t="s">
        <v>394</v>
      </c>
      <c r="AH132" s="1" t="s">
        <v>394</v>
      </c>
      <c r="AI132" s="1" t="s">
        <v>394</v>
      </c>
      <c r="AJ132" s="1" t="s">
        <v>394</v>
      </c>
      <c r="AK132" s="1" t="s">
        <v>394</v>
      </c>
      <c r="AL132" s="1" t="s">
        <v>394</v>
      </c>
      <c r="AM132" s="1" t="str">
        <f t="shared" si="5"/>
        <v>OK</v>
      </c>
      <c r="AN132" s="1" t="s">
        <v>383</v>
      </c>
      <c r="AO132" s="1" t="s">
        <v>384</v>
      </c>
      <c r="AP132" s="1" t="s">
        <v>377</v>
      </c>
      <c r="AQ132" s="1" t="s">
        <v>394</v>
      </c>
      <c r="AR132" s="1" t="s">
        <v>394</v>
      </c>
      <c r="AS132" s="1" t="s">
        <v>377</v>
      </c>
      <c r="AT132" s="1" t="s">
        <v>377</v>
      </c>
      <c r="AU132" s="1" t="s">
        <v>394</v>
      </c>
      <c r="AV132" s="1" t="s">
        <v>378</v>
      </c>
      <c r="AW132" s="1" t="s">
        <v>394</v>
      </c>
      <c r="AX132" s="1" t="s">
        <v>394</v>
      </c>
      <c r="AY132" s="1" t="s">
        <v>394</v>
      </c>
      <c r="AZ132" s="1" t="s">
        <v>394</v>
      </c>
      <c r="BA132" s="1" t="s">
        <v>394</v>
      </c>
      <c r="BB132" s="1" t="s">
        <v>394</v>
      </c>
      <c r="BC132" s="1" t="s">
        <v>394</v>
      </c>
      <c r="BD132" s="1" t="s">
        <v>394</v>
      </c>
      <c r="BE132" s="1" t="s">
        <v>825</v>
      </c>
      <c r="BF132" s="1" t="s">
        <v>394</v>
      </c>
      <c r="BH132" s="1" t="s">
        <v>785</v>
      </c>
      <c r="BI132" s="1" t="s">
        <v>394</v>
      </c>
      <c r="BJ132" s="1" t="s">
        <v>394</v>
      </c>
      <c r="BK132" s="1" t="s">
        <v>394</v>
      </c>
    </row>
    <row r="133" spans="1:63" x14ac:dyDescent="0.25">
      <c r="A133" s="1">
        <v>133</v>
      </c>
      <c r="B133" s="1" t="s">
        <v>199</v>
      </c>
      <c r="C133" s="1" t="s">
        <v>721</v>
      </c>
      <c r="D133" s="1" t="s">
        <v>44</v>
      </c>
      <c r="E133" s="1" t="s">
        <v>8</v>
      </c>
      <c r="F133" s="1" t="s">
        <v>720</v>
      </c>
      <c r="G133" s="1" t="s">
        <v>56</v>
      </c>
      <c r="H133" s="1">
        <v>2021</v>
      </c>
      <c r="I133" s="1" t="s">
        <v>336</v>
      </c>
      <c r="J133" s="1" t="s">
        <v>51</v>
      </c>
      <c r="K133" s="1">
        <v>15821</v>
      </c>
      <c r="L133" s="1" t="s">
        <v>719</v>
      </c>
      <c r="M133" s="1" t="s">
        <v>345</v>
      </c>
      <c r="N133" s="1" t="s">
        <v>814</v>
      </c>
      <c r="O133" s="1" t="s">
        <v>393</v>
      </c>
      <c r="P133" s="1" t="s">
        <v>20</v>
      </c>
      <c r="Q133" s="1" t="s">
        <v>22</v>
      </c>
      <c r="R133" s="1" t="s">
        <v>722</v>
      </c>
      <c r="S133" s="1" t="s">
        <v>21</v>
      </c>
      <c r="T133" s="1" t="s">
        <v>43</v>
      </c>
      <c r="U133" s="1" t="s">
        <v>209</v>
      </c>
      <c r="V133" s="1" t="s">
        <v>44</v>
      </c>
      <c r="W133" s="1" t="s">
        <v>377</v>
      </c>
      <c r="X133" s="1" t="s">
        <v>394</v>
      </c>
      <c r="Y133" s="1" t="s">
        <v>394</v>
      </c>
      <c r="Z133" s="1" t="s">
        <v>377</v>
      </c>
      <c r="AA133" s="1" t="s">
        <v>394</v>
      </c>
      <c r="AB133" s="3" t="s">
        <v>394</v>
      </c>
      <c r="AC133" s="1" t="str">
        <f t="shared" si="4"/>
        <v>Yes</v>
      </c>
      <c r="AD133" s="1" t="s">
        <v>394</v>
      </c>
      <c r="AE133" s="1" t="s">
        <v>394</v>
      </c>
      <c r="AF133" s="1" t="s">
        <v>394</v>
      </c>
      <c r="AG133" s="1" t="s">
        <v>394</v>
      </c>
      <c r="AH133" s="1" t="s">
        <v>394</v>
      </c>
      <c r="AI133" s="1" t="s">
        <v>394</v>
      </c>
      <c r="AJ133" s="1" t="s">
        <v>394</v>
      </c>
      <c r="AK133" s="1" t="s">
        <v>394</v>
      </c>
      <c r="AL133" s="1" t="s">
        <v>394</v>
      </c>
      <c r="AM133" s="1" t="str">
        <f t="shared" si="5"/>
        <v>OK</v>
      </c>
      <c r="AN133" s="1" t="s">
        <v>383</v>
      </c>
      <c r="AO133" s="1" t="s">
        <v>396</v>
      </c>
      <c r="AP133" s="1" t="s">
        <v>394</v>
      </c>
      <c r="AQ133" s="1" t="s">
        <v>394</v>
      </c>
      <c r="AR133" s="1" t="s">
        <v>394</v>
      </c>
      <c r="AS133" s="1" t="s">
        <v>377</v>
      </c>
      <c r="AT133" s="1" t="s">
        <v>377</v>
      </c>
      <c r="AU133" s="1" t="s">
        <v>394</v>
      </c>
      <c r="AV133" s="1" t="s">
        <v>377</v>
      </c>
      <c r="AW133" s="1" t="s">
        <v>394</v>
      </c>
      <c r="AX133" s="1" t="s">
        <v>377</v>
      </c>
      <c r="AY133" s="1" t="s">
        <v>394</v>
      </c>
      <c r="AZ133" s="1" t="s">
        <v>394</v>
      </c>
      <c r="BA133" s="1" t="s">
        <v>377</v>
      </c>
      <c r="BB133" s="1" t="s">
        <v>377</v>
      </c>
      <c r="BC133" s="1" t="s">
        <v>377</v>
      </c>
      <c r="BD133" s="1" t="s">
        <v>377</v>
      </c>
      <c r="BE133" s="1" t="s">
        <v>394</v>
      </c>
      <c r="BF133" s="1" t="s">
        <v>394</v>
      </c>
      <c r="BH133" s="1" t="s">
        <v>785</v>
      </c>
      <c r="BI133" s="1" t="s">
        <v>394</v>
      </c>
      <c r="BJ133" s="1" t="s">
        <v>394</v>
      </c>
      <c r="BK133" s="1" t="s">
        <v>394</v>
      </c>
    </row>
    <row r="134" spans="1:63" x14ac:dyDescent="0.25">
      <c r="A134" s="1">
        <v>134</v>
      </c>
      <c r="B134" s="1" t="s">
        <v>200</v>
      </c>
      <c r="C134" s="1" t="s">
        <v>725</v>
      </c>
      <c r="D134" s="1" t="s">
        <v>726</v>
      </c>
      <c r="E134" s="1" t="s">
        <v>8</v>
      </c>
      <c r="F134" s="1" t="s">
        <v>724</v>
      </c>
      <c r="G134" s="1" t="s">
        <v>48</v>
      </c>
      <c r="H134" s="1">
        <v>2023</v>
      </c>
      <c r="I134" s="1" t="s">
        <v>36</v>
      </c>
      <c r="J134" s="1" t="s">
        <v>51</v>
      </c>
      <c r="K134" s="1">
        <v>76</v>
      </c>
      <c r="L134" s="1" t="s">
        <v>594</v>
      </c>
      <c r="M134" s="1" t="s">
        <v>723</v>
      </c>
      <c r="N134" s="1" t="s">
        <v>252</v>
      </c>
      <c r="O134" s="1" t="s">
        <v>44</v>
      </c>
      <c r="P134" s="1" t="s">
        <v>20</v>
      </c>
      <c r="Q134" s="1" t="s">
        <v>22</v>
      </c>
      <c r="R134" s="1" t="s">
        <v>47</v>
      </c>
      <c r="S134" s="1" t="s">
        <v>21</v>
      </c>
      <c r="T134" s="1" t="s">
        <v>43</v>
      </c>
      <c r="U134" s="1" t="s">
        <v>41</v>
      </c>
      <c r="V134" s="1" t="s">
        <v>44</v>
      </c>
      <c r="W134" s="1" t="s">
        <v>377</v>
      </c>
      <c r="X134" s="1" t="s">
        <v>377</v>
      </c>
      <c r="Y134" s="1" t="s">
        <v>394</v>
      </c>
      <c r="Z134" s="1" t="s">
        <v>394</v>
      </c>
      <c r="AA134" s="1" t="s">
        <v>394</v>
      </c>
      <c r="AB134" s="3" t="s">
        <v>394</v>
      </c>
      <c r="AC134" s="1" t="str">
        <f t="shared" si="4"/>
        <v>No</v>
      </c>
      <c r="AD134" s="1" t="s">
        <v>394</v>
      </c>
      <c r="AE134" s="1" t="s">
        <v>394</v>
      </c>
      <c r="AF134" s="1" t="s">
        <v>394</v>
      </c>
      <c r="AG134" s="1" t="s">
        <v>394</v>
      </c>
      <c r="AH134" s="1" t="s">
        <v>394</v>
      </c>
      <c r="AI134" s="1" t="s">
        <v>394</v>
      </c>
      <c r="AJ134" s="1" t="s">
        <v>394</v>
      </c>
      <c r="AK134" s="1" t="s">
        <v>394</v>
      </c>
      <c r="AL134" s="1" t="s">
        <v>394</v>
      </c>
      <c r="AM134" s="1" t="str">
        <f t="shared" si="5"/>
        <v>OK</v>
      </c>
      <c r="AN134" s="1" t="s">
        <v>383</v>
      </c>
      <c r="AO134" s="1" t="s">
        <v>387</v>
      </c>
      <c r="AP134" s="1" t="s">
        <v>377</v>
      </c>
      <c r="AQ134" s="1" t="s">
        <v>394</v>
      </c>
      <c r="AR134" s="1" t="s">
        <v>394</v>
      </c>
      <c r="AS134" s="1" t="s">
        <v>377</v>
      </c>
      <c r="AT134" s="1" t="s">
        <v>377</v>
      </c>
      <c r="AU134" s="1" t="s">
        <v>377</v>
      </c>
      <c r="AV134" s="1" t="s">
        <v>377</v>
      </c>
      <c r="AW134" s="1" t="s">
        <v>377</v>
      </c>
      <c r="AX134" s="1" t="s">
        <v>377</v>
      </c>
      <c r="AY134" s="1" t="s">
        <v>394</v>
      </c>
      <c r="AZ134" s="1" t="s">
        <v>394</v>
      </c>
      <c r="BA134" s="1" t="s">
        <v>825</v>
      </c>
      <c r="BB134" s="1" t="s">
        <v>377</v>
      </c>
      <c r="BC134" s="1" t="s">
        <v>825</v>
      </c>
      <c r="BD134" s="1" t="s">
        <v>825</v>
      </c>
      <c r="BE134" s="1" t="s">
        <v>377</v>
      </c>
      <c r="BF134" s="1" t="s">
        <v>377</v>
      </c>
      <c r="BH134" s="1" t="s">
        <v>785</v>
      </c>
      <c r="BI134" s="1" t="s">
        <v>394</v>
      </c>
      <c r="BJ134" s="1" t="s">
        <v>394</v>
      </c>
      <c r="BK134" s="1" t="s">
        <v>394</v>
      </c>
    </row>
    <row r="135" spans="1:63" x14ac:dyDescent="0.25">
      <c r="A135" s="1">
        <v>135</v>
      </c>
      <c r="B135" s="1" t="s">
        <v>201</v>
      </c>
      <c r="C135" s="1" t="s">
        <v>728</v>
      </c>
      <c r="D135" s="1" t="s">
        <v>44</v>
      </c>
      <c r="E135" s="1" t="s">
        <v>8</v>
      </c>
      <c r="F135" s="1" t="s">
        <v>727</v>
      </c>
      <c r="G135" s="1" t="s">
        <v>684</v>
      </c>
      <c r="H135" s="1">
        <v>2016</v>
      </c>
      <c r="I135" s="1" t="s">
        <v>212</v>
      </c>
      <c r="J135" s="1" t="s">
        <v>51</v>
      </c>
      <c r="K135" s="1">
        <v>44</v>
      </c>
      <c r="L135" s="1" t="s">
        <v>475</v>
      </c>
      <c r="M135" s="1" t="s">
        <v>770</v>
      </c>
      <c r="N135" s="1" t="s">
        <v>466</v>
      </c>
      <c r="O135" s="1" t="s">
        <v>44</v>
      </c>
      <c r="P135" s="1" t="s">
        <v>20</v>
      </c>
      <c r="Q135" s="1" t="s">
        <v>466</v>
      </c>
      <c r="R135" s="1" t="s">
        <v>47</v>
      </c>
      <c r="S135" s="1" t="s">
        <v>21</v>
      </c>
      <c r="T135" s="1" t="s">
        <v>43</v>
      </c>
      <c r="U135" s="1" t="s">
        <v>209</v>
      </c>
      <c r="V135" s="1" t="s">
        <v>44</v>
      </c>
      <c r="W135" s="1" t="s">
        <v>377</v>
      </c>
      <c r="X135" s="1" t="s">
        <v>394</v>
      </c>
      <c r="Y135" s="1" t="s">
        <v>394</v>
      </c>
      <c r="Z135" s="1" t="s">
        <v>394</v>
      </c>
      <c r="AA135" s="1" t="s">
        <v>394</v>
      </c>
      <c r="AB135" s="3" t="s">
        <v>394</v>
      </c>
      <c r="AC135" s="1" t="str">
        <f t="shared" si="4"/>
        <v>No</v>
      </c>
      <c r="AD135" s="1" t="s">
        <v>394</v>
      </c>
      <c r="AE135" s="1" t="s">
        <v>394</v>
      </c>
      <c r="AF135" s="1" t="s">
        <v>394</v>
      </c>
      <c r="AG135" s="1" t="s">
        <v>394</v>
      </c>
      <c r="AH135" s="1" t="s">
        <v>394</v>
      </c>
      <c r="AI135" s="1" t="s">
        <v>394</v>
      </c>
      <c r="AJ135" s="1" t="s">
        <v>394</v>
      </c>
      <c r="AK135" s="1" t="s">
        <v>394</v>
      </c>
      <c r="AL135" s="1" t="s">
        <v>394</v>
      </c>
      <c r="AM135" s="1" t="str">
        <f t="shared" si="5"/>
        <v>OK</v>
      </c>
      <c r="AN135" s="1" t="s">
        <v>383</v>
      </c>
      <c r="AO135" s="1" t="s">
        <v>384</v>
      </c>
      <c r="AP135" s="1" t="s">
        <v>394</v>
      </c>
      <c r="AQ135" s="1" t="s">
        <v>394</v>
      </c>
      <c r="AR135" s="1" t="s">
        <v>394</v>
      </c>
      <c r="AS135" s="1" t="s">
        <v>377</v>
      </c>
      <c r="AT135" s="1" t="s">
        <v>377</v>
      </c>
      <c r="AU135" s="1" t="s">
        <v>394</v>
      </c>
      <c r="AV135" s="1" t="s">
        <v>377</v>
      </c>
      <c r="AW135" s="1" t="s">
        <v>394</v>
      </c>
      <c r="AX135" s="1" t="s">
        <v>377</v>
      </c>
      <c r="AY135" s="1" t="s">
        <v>394</v>
      </c>
      <c r="AZ135" s="1" t="s">
        <v>394</v>
      </c>
      <c r="BA135" s="1" t="s">
        <v>825</v>
      </c>
      <c r="BB135" s="1" t="s">
        <v>377</v>
      </c>
      <c r="BC135" s="1" t="s">
        <v>377</v>
      </c>
      <c r="BD135" s="1" t="s">
        <v>377</v>
      </c>
      <c r="BE135" s="1" t="s">
        <v>394</v>
      </c>
      <c r="BF135" s="1" t="s">
        <v>394</v>
      </c>
      <c r="BH135" s="1" t="s">
        <v>785</v>
      </c>
      <c r="BI135" s="1" t="s">
        <v>394</v>
      </c>
      <c r="BJ135" s="1" t="s">
        <v>394</v>
      </c>
      <c r="BK135" s="1" t="s">
        <v>394</v>
      </c>
    </row>
    <row r="136" spans="1:63" x14ac:dyDescent="0.25">
      <c r="A136" s="1">
        <v>136</v>
      </c>
      <c r="B136" s="1" t="s">
        <v>202</v>
      </c>
      <c r="C136" s="1" t="s">
        <v>731</v>
      </c>
      <c r="D136" s="1" t="s">
        <v>44</v>
      </c>
      <c r="E136" s="1" t="s">
        <v>8</v>
      </c>
      <c r="F136" s="1" t="s">
        <v>729</v>
      </c>
      <c r="G136" s="1" t="s">
        <v>56</v>
      </c>
      <c r="H136" s="1">
        <v>2013</v>
      </c>
      <c r="I136" s="1" t="s">
        <v>336</v>
      </c>
      <c r="J136" s="1" t="s">
        <v>51</v>
      </c>
      <c r="K136" s="1">
        <v>81</v>
      </c>
      <c r="L136" s="1" t="s">
        <v>475</v>
      </c>
      <c r="M136" s="1" t="s">
        <v>345</v>
      </c>
      <c r="N136" s="1" t="s">
        <v>812</v>
      </c>
      <c r="O136" s="1" t="s">
        <v>241</v>
      </c>
      <c r="P136" s="1" t="s">
        <v>20</v>
      </c>
      <c r="Q136" s="1" t="s">
        <v>22</v>
      </c>
      <c r="R136" s="1" t="s">
        <v>730</v>
      </c>
      <c r="S136" s="1" t="s">
        <v>21</v>
      </c>
      <c r="T136" s="1" t="s">
        <v>43</v>
      </c>
      <c r="U136" s="1" t="s">
        <v>209</v>
      </c>
      <c r="V136" s="1" t="s">
        <v>44</v>
      </c>
      <c r="W136" s="1" t="s">
        <v>377</v>
      </c>
      <c r="X136" s="1" t="s">
        <v>394</v>
      </c>
      <c r="Y136" s="1" t="s">
        <v>394</v>
      </c>
      <c r="Z136" s="1" t="s">
        <v>377</v>
      </c>
      <c r="AA136" s="1" t="s">
        <v>394</v>
      </c>
      <c r="AB136" s="3" t="s">
        <v>394</v>
      </c>
      <c r="AC136" s="1" t="str">
        <f t="shared" si="4"/>
        <v>Yes</v>
      </c>
      <c r="AD136" s="1" t="s">
        <v>394</v>
      </c>
      <c r="AE136" s="1" t="s">
        <v>394</v>
      </c>
      <c r="AF136" s="1" t="s">
        <v>394</v>
      </c>
      <c r="AG136" s="1" t="s">
        <v>394</v>
      </c>
      <c r="AH136" s="1" t="s">
        <v>394</v>
      </c>
      <c r="AI136" s="1" t="s">
        <v>394</v>
      </c>
      <c r="AJ136" s="1" t="s">
        <v>394</v>
      </c>
      <c r="AK136" s="1" t="s">
        <v>394</v>
      </c>
      <c r="AL136" s="1" t="s">
        <v>394</v>
      </c>
      <c r="AM136" s="1" t="str">
        <f t="shared" si="5"/>
        <v>OK</v>
      </c>
      <c r="AN136" s="1" t="s">
        <v>383</v>
      </c>
      <c r="AO136" s="1" t="s">
        <v>779</v>
      </c>
      <c r="AP136" s="1" t="s">
        <v>394</v>
      </c>
      <c r="AQ136" s="1" t="s">
        <v>394</v>
      </c>
      <c r="AR136" s="1" t="s">
        <v>394</v>
      </c>
      <c r="AS136" s="1" t="s">
        <v>377</v>
      </c>
      <c r="AT136" s="1" t="s">
        <v>377</v>
      </c>
      <c r="AU136" s="1" t="s">
        <v>377</v>
      </c>
      <c r="AV136" s="1" t="s">
        <v>377</v>
      </c>
      <c r="AW136" s="1" t="s">
        <v>394</v>
      </c>
      <c r="AX136" s="1" t="s">
        <v>377</v>
      </c>
      <c r="AY136" s="1" t="s">
        <v>394</v>
      </c>
      <c r="AZ136" s="1" t="s">
        <v>377</v>
      </c>
      <c r="BA136" s="1" t="s">
        <v>394</v>
      </c>
      <c r="BB136" s="1" t="s">
        <v>377</v>
      </c>
      <c r="BC136" s="1" t="s">
        <v>825</v>
      </c>
      <c r="BD136" s="1" t="s">
        <v>825</v>
      </c>
      <c r="BE136" s="1" t="s">
        <v>394</v>
      </c>
      <c r="BF136" s="1" t="s">
        <v>394</v>
      </c>
      <c r="BH136" s="1" t="s">
        <v>785</v>
      </c>
      <c r="BI136" s="1" t="s">
        <v>394</v>
      </c>
      <c r="BJ136" s="1" t="s">
        <v>394</v>
      </c>
      <c r="BK136" s="1" t="s">
        <v>394</v>
      </c>
    </row>
    <row r="137" spans="1:63" x14ac:dyDescent="0.25">
      <c r="A137" s="1">
        <v>137</v>
      </c>
      <c r="B137" s="1" t="s">
        <v>203</v>
      </c>
      <c r="C137" s="1" t="s">
        <v>732</v>
      </c>
      <c r="D137" s="1" t="s">
        <v>733</v>
      </c>
      <c r="E137" s="1" t="s">
        <v>8</v>
      </c>
      <c r="F137" s="1" t="s">
        <v>734</v>
      </c>
      <c r="G137" s="1" t="s">
        <v>486</v>
      </c>
      <c r="H137" s="1">
        <v>2019</v>
      </c>
      <c r="I137" s="1" t="s">
        <v>34</v>
      </c>
      <c r="J137" s="1" t="s">
        <v>51</v>
      </c>
      <c r="K137" s="1">
        <v>64</v>
      </c>
      <c r="L137" s="1" t="s">
        <v>475</v>
      </c>
      <c r="M137" s="1" t="s">
        <v>735</v>
      </c>
      <c r="N137" s="1" t="s">
        <v>466</v>
      </c>
      <c r="O137" s="1" t="s">
        <v>44</v>
      </c>
      <c r="P137" s="1" t="s">
        <v>20</v>
      </c>
      <c r="Q137" s="1" t="s">
        <v>466</v>
      </c>
      <c r="R137" s="1" t="s">
        <v>47</v>
      </c>
      <c r="S137" s="1" t="s">
        <v>21</v>
      </c>
      <c r="T137" s="1" t="s">
        <v>43</v>
      </c>
      <c r="U137" s="1" t="s">
        <v>209</v>
      </c>
      <c r="V137" s="1" t="s">
        <v>44</v>
      </c>
      <c r="W137" s="1" t="s">
        <v>377</v>
      </c>
      <c r="X137" s="1" t="s">
        <v>394</v>
      </c>
      <c r="Y137" s="1" t="s">
        <v>394</v>
      </c>
      <c r="Z137" s="1" t="s">
        <v>394</v>
      </c>
      <c r="AA137" s="1" t="s">
        <v>394</v>
      </c>
      <c r="AB137" s="3" t="s">
        <v>394</v>
      </c>
      <c r="AC137" s="1" t="str">
        <f t="shared" si="4"/>
        <v>No</v>
      </c>
      <c r="AD137" s="1" t="s">
        <v>394</v>
      </c>
      <c r="AE137" s="1" t="s">
        <v>394</v>
      </c>
      <c r="AF137" s="1" t="s">
        <v>394</v>
      </c>
      <c r="AG137" s="1" t="s">
        <v>394</v>
      </c>
      <c r="AH137" s="1" t="s">
        <v>394</v>
      </c>
      <c r="AI137" s="1" t="s">
        <v>394</v>
      </c>
      <c r="AJ137" s="1" t="s">
        <v>394</v>
      </c>
      <c r="AK137" s="1" t="s">
        <v>394</v>
      </c>
      <c r="AL137" s="1" t="s">
        <v>394</v>
      </c>
      <c r="AM137" s="1" t="str">
        <f t="shared" si="5"/>
        <v>OK</v>
      </c>
      <c r="AN137" s="1" t="s">
        <v>383</v>
      </c>
      <c r="AO137" s="1" t="s">
        <v>396</v>
      </c>
      <c r="AP137" s="1" t="s">
        <v>394</v>
      </c>
      <c r="AQ137" s="1" t="s">
        <v>394</v>
      </c>
      <c r="AR137" s="1" t="s">
        <v>394</v>
      </c>
      <c r="AS137" s="1" t="s">
        <v>377</v>
      </c>
      <c r="AT137" s="1" t="s">
        <v>377</v>
      </c>
      <c r="AU137" s="1" t="s">
        <v>394</v>
      </c>
      <c r="AV137" s="1" t="s">
        <v>377</v>
      </c>
      <c r="AW137" s="1" t="s">
        <v>394</v>
      </c>
      <c r="AX137" s="1" t="s">
        <v>378</v>
      </c>
      <c r="AY137" s="1" t="s">
        <v>394</v>
      </c>
      <c r="AZ137" s="1" t="s">
        <v>394</v>
      </c>
      <c r="BA137" s="1" t="s">
        <v>394</v>
      </c>
      <c r="BB137" s="1" t="s">
        <v>377</v>
      </c>
      <c r="BC137" s="1" t="s">
        <v>825</v>
      </c>
      <c r="BD137" s="1" t="s">
        <v>825</v>
      </c>
      <c r="BE137" s="1" t="s">
        <v>394</v>
      </c>
      <c r="BF137" s="1" t="s">
        <v>394</v>
      </c>
      <c r="BH137" s="1" t="s">
        <v>785</v>
      </c>
      <c r="BI137" s="1" t="s">
        <v>394</v>
      </c>
      <c r="BJ137" s="1" t="s">
        <v>394</v>
      </c>
      <c r="BK137" s="1" t="s">
        <v>394</v>
      </c>
    </row>
    <row r="138" spans="1:63" x14ac:dyDescent="0.25">
      <c r="A138" s="1">
        <v>138</v>
      </c>
      <c r="B138" s="1" t="s">
        <v>27</v>
      </c>
      <c r="C138" s="1" t="s">
        <v>50</v>
      </c>
      <c r="D138" s="1" t="s">
        <v>44</v>
      </c>
      <c r="E138" s="1" t="s">
        <v>8</v>
      </c>
      <c r="F138" s="1" t="s">
        <v>736</v>
      </c>
      <c r="G138" s="1" t="s">
        <v>207</v>
      </c>
      <c r="H138" s="1">
        <v>2020</v>
      </c>
      <c r="I138" s="1" t="s">
        <v>28</v>
      </c>
      <c r="J138" s="1" t="s">
        <v>51</v>
      </c>
      <c r="K138" s="1">
        <v>159</v>
      </c>
      <c r="L138" s="1" t="s">
        <v>645</v>
      </c>
      <c r="M138" s="1" t="s">
        <v>49</v>
      </c>
      <c r="N138" s="1" t="s">
        <v>813</v>
      </c>
      <c r="O138" s="1" t="s">
        <v>393</v>
      </c>
      <c r="P138" s="1" t="s">
        <v>20</v>
      </c>
      <c r="Q138" s="1" t="s">
        <v>518</v>
      </c>
      <c r="R138" s="1" t="s">
        <v>738</v>
      </c>
      <c r="S138" s="1" t="s">
        <v>57</v>
      </c>
      <c r="T138" s="1" t="s">
        <v>43</v>
      </c>
      <c r="U138" s="1" t="s">
        <v>737</v>
      </c>
      <c r="V138" s="1" t="s">
        <v>44</v>
      </c>
      <c r="W138" s="1" t="s">
        <v>377</v>
      </c>
      <c r="X138" s="1" t="s">
        <v>377</v>
      </c>
      <c r="Y138" s="1" t="s">
        <v>394</v>
      </c>
      <c r="Z138" s="1" t="s">
        <v>394</v>
      </c>
      <c r="AA138" s="1" t="s">
        <v>394</v>
      </c>
      <c r="AB138" s="3" t="s">
        <v>394</v>
      </c>
      <c r="AC138" s="1" t="str">
        <f t="shared" si="4"/>
        <v>No</v>
      </c>
      <c r="AD138" s="1" t="s">
        <v>394</v>
      </c>
      <c r="AE138" s="1" t="s">
        <v>394</v>
      </c>
      <c r="AF138" s="1" t="s">
        <v>394</v>
      </c>
      <c r="AG138" s="1" t="s">
        <v>394</v>
      </c>
      <c r="AH138" s="1" t="s">
        <v>394</v>
      </c>
      <c r="AI138" s="1" t="s">
        <v>394</v>
      </c>
      <c r="AJ138" s="1" t="s">
        <v>394</v>
      </c>
      <c r="AK138" s="1" t="s">
        <v>394</v>
      </c>
      <c r="AL138" s="1" t="s">
        <v>394</v>
      </c>
      <c r="AM138" s="1" t="str">
        <f t="shared" si="5"/>
        <v>OK</v>
      </c>
      <c r="AN138" s="1" t="s">
        <v>383</v>
      </c>
      <c r="AO138" s="1" t="s">
        <v>388</v>
      </c>
      <c r="AP138" s="1" t="s">
        <v>394</v>
      </c>
      <c r="AQ138" s="1" t="s">
        <v>377</v>
      </c>
      <c r="AR138" s="1" t="s">
        <v>394</v>
      </c>
      <c r="AS138" s="1" t="s">
        <v>377</v>
      </c>
      <c r="AT138" s="1" t="s">
        <v>377</v>
      </c>
      <c r="AU138" s="1" t="s">
        <v>378</v>
      </c>
      <c r="AV138" s="1" t="s">
        <v>377</v>
      </c>
      <c r="AW138" s="1" t="s">
        <v>378</v>
      </c>
      <c r="AX138" s="1" t="s">
        <v>394</v>
      </c>
      <c r="AY138" s="1" t="s">
        <v>394</v>
      </c>
      <c r="AZ138" s="1" t="s">
        <v>377</v>
      </c>
      <c r="BA138" s="1" t="s">
        <v>377</v>
      </c>
      <c r="BB138" s="1" t="s">
        <v>377</v>
      </c>
      <c r="BC138" s="1" t="s">
        <v>825</v>
      </c>
      <c r="BD138" s="1" t="s">
        <v>825</v>
      </c>
      <c r="BE138" s="1" t="s">
        <v>377</v>
      </c>
      <c r="BF138" s="1" t="s">
        <v>377</v>
      </c>
      <c r="BH138" s="1" t="s">
        <v>785</v>
      </c>
      <c r="BI138" s="1" t="s">
        <v>394</v>
      </c>
      <c r="BJ138" s="1" t="s">
        <v>394</v>
      </c>
      <c r="BK138" s="1" t="s">
        <v>377</v>
      </c>
    </row>
    <row r="139" spans="1:63" x14ac:dyDescent="0.25">
      <c r="A139" s="1">
        <v>139</v>
      </c>
      <c r="B139" s="1" t="s">
        <v>204</v>
      </c>
      <c r="C139" s="1" t="s">
        <v>740</v>
      </c>
      <c r="D139" s="1" t="s">
        <v>44</v>
      </c>
      <c r="E139" s="1" t="s">
        <v>8</v>
      </c>
      <c r="F139" s="1" t="s">
        <v>739</v>
      </c>
      <c r="G139" s="1" t="s">
        <v>66</v>
      </c>
      <c r="H139" s="1">
        <v>2019</v>
      </c>
      <c r="I139" s="1" t="s">
        <v>34</v>
      </c>
      <c r="J139" s="1" t="s">
        <v>51</v>
      </c>
      <c r="K139" s="1">
        <v>186</v>
      </c>
      <c r="L139" s="1" t="s">
        <v>475</v>
      </c>
      <c r="M139" s="1" t="s">
        <v>741</v>
      </c>
      <c r="N139" s="1" t="s">
        <v>466</v>
      </c>
      <c r="O139" s="1" t="s">
        <v>44</v>
      </c>
      <c r="P139" s="1" t="s">
        <v>20</v>
      </c>
      <c r="Q139" s="1" t="s">
        <v>466</v>
      </c>
      <c r="R139" s="1" t="s">
        <v>47</v>
      </c>
      <c r="S139" s="1" t="s">
        <v>21</v>
      </c>
      <c r="T139" s="1" t="s">
        <v>43</v>
      </c>
      <c r="U139" s="1" t="s">
        <v>209</v>
      </c>
      <c r="V139" s="1" t="s">
        <v>44</v>
      </c>
      <c r="W139" s="1" t="s">
        <v>377</v>
      </c>
      <c r="X139" s="1" t="s">
        <v>377</v>
      </c>
      <c r="Y139" s="1" t="s">
        <v>394</v>
      </c>
      <c r="Z139" s="1" t="s">
        <v>377</v>
      </c>
      <c r="AA139" s="1" t="s">
        <v>394</v>
      </c>
      <c r="AB139" s="3" t="s">
        <v>394</v>
      </c>
      <c r="AC139" s="1" t="str">
        <f t="shared" si="4"/>
        <v>Yes</v>
      </c>
      <c r="AD139" s="1" t="s">
        <v>394</v>
      </c>
      <c r="AE139" s="1" t="s">
        <v>394</v>
      </c>
      <c r="AF139" s="1" t="s">
        <v>394</v>
      </c>
      <c r="AG139" s="1" t="s">
        <v>394</v>
      </c>
      <c r="AH139" s="1" t="s">
        <v>394</v>
      </c>
      <c r="AI139" s="1" t="s">
        <v>394</v>
      </c>
      <c r="AJ139" s="1" t="s">
        <v>394</v>
      </c>
      <c r="AK139" s="1" t="s">
        <v>394</v>
      </c>
      <c r="AL139" s="1" t="s">
        <v>394</v>
      </c>
      <c r="AM139" s="1" t="str">
        <f t="shared" si="5"/>
        <v>OK</v>
      </c>
      <c r="AN139" s="1" t="s">
        <v>383</v>
      </c>
      <c r="AO139" s="1" t="s">
        <v>384</v>
      </c>
      <c r="AP139" s="1" t="s">
        <v>394</v>
      </c>
      <c r="AQ139" s="1" t="s">
        <v>394</v>
      </c>
      <c r="AR139" s="1" t="s">
        <v>394</v>
      </c>
      <c r="AS139" s="1" t="s">
        <v>377</v>
      </c>
      <c r="AT139" s="1" t="s">
        <v>377</v>
      </c>
      <c r="AU139" s="1" t="s">
        <v>394</v>
      </c>
      <c r="AV139" s="1" t="s">
        <v>377</v>
      </c>
      <c r="AW139" s="1" t="s">
        <v>394</v>
      </c>
      <c r="AX139" s="1" t="s">
        <v>377</v>
      </c>
      <c r="AY139" s="1" t="s">
        <v>394</v>
      </c>
      <c r="AZ139" s="1" t="s">
        <v>394</v>
      </c>
      <c r="BA139" s="1" t="s">
        <v>394</v>
      </c>
      <c r="BB139" s="1" t="s">
        <v>377</v>
      </c>
      <c r="BC139" s="1" t="s">
        <v>377</v>
      </c>
      <c r="BD139" s="1" t="s">
        <v>377</v>
      </c>
      <c r="BE139" s="1" t="s">
        <v>377</v>
      </c>
      <c r="BF139" s="1" t="s">
        <v>377</v>
      </c>
      <c r="BH139" s="1" t="s">
        <v>785</v>
      </c>
      <c r="BI139" s="1" t="s">
        <v>394</v>
      </c>
      <c r="BJ139" s="1" t="s">
        <v>394</v>
      </c>
      <c r="BK139" s="1" t="s">
        <v>394</v>
      </c>
    </row>
  </sheetData>
  <autoFilter ref="B1:BK139" xr:uid="{0E50B9A0-3402-48C2-AB95-246022EE52A7}"/>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Víctor Martínez Rech</dc:creator>
  <cp:lastModifiedBy>jcortes@upc-eio.upc.es</cp:lastModifiedBy>
  <dcterms:created xsi:type="dcterms:W3CDTF">2023-12-15T00:20:57Z</dcterms:created>
  <dcterms:modified xsi:type="dcterms:W3CDTF">2025-04-04T14:16:26Z</dcterms:modified>
</cp:coreProperties>
</file>